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inmet" sheetId="1" state="visible" r:id="rId3"/>
    <sheet name="solo" sheetId="2" state="visible" r:id="rId4"/>
    <sheet name="cultura" sheetId="3" state="visible" r:id="rId5"/>
    <sheet name="ciclo" sheetId="4" state="visible" r:id="rId6"/>
    <sheet name="equipamento" sheetId="5" state="visible" r:id="rId7"/>
    <sheet name="tarifa" sheetId="6" state="visible" r:id="rId8"/>
    <sheet name="percentímetro" sheetId="7" state="visible" r:id="rId9"/>
    <sheet name="perc" sheetId="8" state="visible" r:id="rId10"/>
    <sheet name="resultados" sheetId="9" state="visible" r:id="rId11"/>
  </sheets>
  <definedNames>
    <definedName function="false" hidden="false" name="cad" vbProcedure="false">ciclo!$D$2:$D$121</definedName>
    <definedName function="false" hidden="false" name="custo" vbProcedure="false">perc!$D$3:$D$11</definedName>
    <definedName function="false" hidden="false" name="dias" vbProcedure="false">ciclo!$A$2:$A$121</definedName>
    <definedName function="false" hidden="false" name="etc" vbProcedure="false">ciclo!$C$2:$C$121</definedName>
    <definedName function="false" hidden="false" name="lam" vbProcedure="false">perc!$C$3:$C$11</definedName>
    <definedName function="false" hidden="false" name="lim" vbProcedure="false">ciclo!$E$2:$E$121</definedName>
    <definedName function="false" hidden="false" name="prec" vbProcedure="false">ciclo!$B$2:$B$121</definedName>
    <definedName function="false" hidden="false" name="vel" vbProcedure="false">perc!$A$3:$A$11</definedName>
    <definedName function="false" hidden="false" name="volta" vbProcedure="false">perc!$B$3:$B$11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<sst xmlns="http://schemas.openxmlformats.org/spreadsheetml/2006/main" count="279" uniqueCount="198">
  <si>
    <t xml:space="preserve">DATA</t>
  </si>
  <si>
    <t xml:space="preserve">ARM</t>
  </si>
  <si>
    <t xml:space="preserve">ETR</t>
  </si>
  <si>
    <t xml:space="preserve">Deficit</t>
  </si>
  <si>
    <t xml:space="preserve">Excedente</t>
  </si>
  <si>
    <t xml:space="preserve">ETo</t>
  </si>
  <si>
    <t xml:space="preserve">PRECIPITACAO</t>
  </si>
  <si>
    <t xml:space="preserve">TEMPERATURA</t>
  </si>
  <si>
    <t xml:space="preserve">01/10/2023</t>
  </si>
  <si>
    <t xml:space="preserve">02/10/2023</t>
  </si>
  <si>
    <t xml:space="preserve">03/10/2023</t>
  </si>
  <si>
    <t xml:space="preserve">04/10/2023</t>
  </si>
  <si>
    <t xml:space="preserve">05/10/2023</t>
  </si>
  <si>
    <t xml:space="preserve">06/10/2023</t>
  </si>
  <si>
    <t xml:space="preserve">07/10/2023</t>
  </si>
  <si>
    <t xml:space="preserve">08/10/2023</t>
  </si>
  <si>
    <t xml:space="preserve">09/10/2023</t>
  </si>
  <si>
    <t xml:space="preserve">10/10/2023</t>
  </si>
  <si>
    <t xml:space="preserve">11/10/2023</t>
  </si>
  <si>
    <t xml:space="preserve">12/10/2023</t>
  </si>
  <si>
    <t xml:space="preserve">13/10/2023</t>
  </si>
  <si>
    <t xml:space="preserve">14/10/2023</t>
  </si>
  <si>
    <t xml:space="preserve">15/10/2023</t>
  </si>
  <si>
    <t xml:space="preserve">16/10/2023</t>
  </si>
  <si>
    <t xml:space="preserve">17/10/2023</t>
  </si>
  <si>
    <t xml:space="preserve">18/10/2023</t>
  </si>
  <si>
    <t xml:space="preserve">19/10/2023</t>
  </si>
  <si>
    <t xml:space="preserve">20/10/2023</t>
  </si>
  <si>
    <t xml:space="preserve">21/10/2023</t>
  </si>
  <si>
    <t xml:space="preserve">22/10/2023</t>
  </si>
  <si>
    <t xml:space="preserve">23/10/2023</t>
  </si>
  <si>
    <t xml:space="preserve">24/10/2023</t>
  </si>
  <si>
    <t xml:space="preserve">25/10/2023</t>
  </si>
  <si>
    <t xml:space="preserve">26/10/2023</t>
  </si>
  <si>
    <t xml:space="preserve">27/10/2023</t>
  </si>
  <si>
    <t xml:space="preserve">28/10/2023</t>
  </si>
  <si>
    <t xml:space="preserve">29/10/2023</t>
  </si>
  <si>
    <t xml:space="preserve">30/10/2023</t>
  </si>
  <si>
    <t xml:space="preserve">31/10/2023</t>
  </si>
  <si>
    <t xml:space="preserve">01/11/2023</t>
  </si>
  <si>
    <t xml:space="preserve">02/11/2023</t>
  </si>
  <si>
    <t xml:space="preserve">03/11/2023</t>
  </si>
  <si>
    <t xml:space="preserve">04/11/2023</t>
  </si>
  <si>
    <t xml:space="preserve">05/11/2023</t>
  </si>
  <si>
    <t xml:space="preserve">06/11/2023</t>
  </si>
  <si>
    <t xml:space="preserve">07/11/2023</t>
  </si>
  <si>
    <t xml:space="preserve">08/11/2023</t>
  </si>
  <si>
    <t xml:space="preserve">09/11/2023</t>
  </si>
  <si>
    <t xml:space="preserve">10/11/2023</t>
  </si>
  <si>
    <t xml:space="preserve">11/11/2023</t>
  </si>
  <si>
    <t xml:space="preserve">12/11/2023</t>
  </si>
  <si>
    <t xml:space="preserve">13/11/2023</t>
  </si>
  <si>
    <t xml:space="preserve">14/11/2023</t>
  </si>
  <si>
    <t xml:space="preserve">15/11/2023</t>
  </si>
  <si>
    <t xml:space="preserve">16/11/2023</t>
  </si>
  <si>
    <t xml:space="preserve">17/11/2023</t>
  </si>
  <si>
    <t xml:space="preserve">18/11/2023</t>
  </si>
  <si>
    <t xml:space="preserve">19/11/2023</t>
  </si>
  <si>
    <t xml:space="preserve">20/11/2023</t>
  </si>
  <si>
    <t xml:space="preserve">21/11/2023</t>
  </si>
  <si>
    <t xml:space="preserve">22/11/2023</t>
  </si>
  <si>
    <t xml:space="preserve">23/11/2023</t>
  </si>
  <si>
    <t xml:space="preserve">24/11/2023</t>
  </si>
  <si>
    <t xml:space="preserve">25/11/2023</t>
  </si>
  <si>
    <t xml:space="preserve">26/11/2023</t>
  </si>
  <si>
    <t xml:space="preserve">27/11/2023</t>
  </si>
  <si>
    <t xml:space="preserve">28/11/2023</t>
  </si>
  <si>
    <t xml:space="preserve">29/11/2023</t>
  </si>
  <si>
    <t xml:space="preserve">30/11/2023</t>
  </si>
  <si>
    <t xml:space="preserve">01/12/2023</t>
  </si>
  <si>
    <t xml:space="preserve">02/12/2023</t>
  </si>
  <si>
    <t xml:space="preserve">03/12/2023</t>
  </si>
  <si>
    <t xml:space="preserve">04/12/2023</t>
  </si>
  <si>
    <t xml:space="preserve">05/12/2023</t>
  </si>
  <si>
    <t xml:space="preserve">06/12/2023</t>
  </si>
  <si>
    <t xml:space="preserve">07/12/2023</t>
  </si>
  <si>
    <t xml:space="preserve">08/12/2023</t>
  </si>
  <si>
    <t xml:space="preserve">09/12/2023</t>
  </si>
  <si>
    <t xml:space="preserve">10/12/2023</t>
  </si>
  <si>
    <t xml:space="preserve">11/12/2023</t>
  </si>
  <si>
    <t xml:space="preserve">12/12/2023</t>
  </si>
  <si>
    <t xml:space="preserve">13/12/2023</t>
  </si>
  <si>
    <t xml:space="preserve">14/12/2023</t>
  </si>
  <si>
    <t xml:space="preserve">15/12/2023</t>
  </si>
  <si>
    <t xml:space="preserve">16/12/2023</t>
  </si>
  <si>
    <t xml:space="preserve">17/12/2023</t>
  </si>
  <si>
    <t xml:space="preserve">18/12/2023</t>
  </si>
  <si>
    <t xml:space="preserve">19/12/2023</t>
  </si>
  <si>
    <t xml:space="preserve">20/12/2023</t>
  </si>
  <si>
    <t xml:space="preserve">21/12/2023</t>
  </si>
  <si>
    <t xml:space="preserve">22/12/2023</t>
  </si>
  <si>
    <t xml:space="preserve">23/12/2023</t>
  </si>
  <si>
    <t xml:space="preserve">24/12/2023</t>
  </si>
  <si>
    <t xml:space="preserve">25/12/2023</t>
  </si>
  <si>
    <t xml:space="preserve">26/12/2023</t>
  </si>
  <si>
    <t xml:space="preserve">27/12/2023</t>
  </si>
  <si>
    <t xml:space="preserve">28/12/2023</t>
  </si>
  <si>
    <t xml:space="preserve">29/12/2023</t>
  </si>
  <si>
    <t xml:space="preserve">30/12/2023</t>
  </si>
  <si>
    <t xml:space="preserve">31/12/2023</t>
  </si>
  <si>
    <t xml:space="preserve">01/01/2024</t>
  </si>
  <si>
    <t xml:space="preserve">02/01/2024</t>
  </si>
  <si>
    <t xml:space="preserve">03/01/2024</t>
  </si>
  <si>
    <t xml:space="preserve">04/01/2024</t>
  </si>
  <si>
    <t xml:space="preserve">05/01/2024</t>
  </si>
  <si>
    <t xml:space="preserve">06/01/2024</t>
  </si>
  <si>
    <t xml:space="preserve">07/01/2024</t>
  </si>
  <si>
    <t xml:space="preserve">08/01/2024</t>
  </si>
  <si>
    <t xml:space="preserve">09/01/2024</t>
  </si>
  <si>
    <t xml:space="preserve">10/01/2024</t>
  </si>
  <si>
    <t xml:space="preserve">11/01/2024</t>
  </si>
  <si>
    <t xml:space="preserve">12/01/2024</t>
  </si>
  <si>
    <t xml:space="preserve">13/01/2024</t>
  </si>
  <si>
    <t xml:space="preserve">14/01/2024</t>
  </si>
  <si>
    <t xml:space="preserve">15/01/2024</t>
  </si>
  <si>
    <t xml:space="preserve">16/01/2024</t>
  </si>
  <si>
    <t xml:space="preserve">17/01/2024</t>
  </si>
  <si>
    <t xml:space="preserve">18/01/2024</t>
  </si>
  <si>
    <t xml:space="preserve">19/01/2024</t>
  </si>
  <si>
    <t xml:space="preserve">20/01/2024</t>
  </si>
  <si>
    <t xml:space="preserve">21/01/2024</t>
  </si>
  <si>
    <t xml:space="preserve">22/01/2024</t>
  </si>
  <si>
    <t xml:space="preserve">23/01/2024</t>
  </si>
  <si>
    <t xml:space="preserve">24/01/2024</t>
  </si>
  <si>
    <t xml:space="preserve">25/01/2024</t>
  </si>
  <si>
    <t xml:space="preserve">26/01/2024</t>
  </si>
  <si>
    <t xml:space="preserve">27/01/2024</t>
  </si>
  <si>
    <t xml:space="preserve">28/01/2024</t>
  </si>
  <si>
    <t xml:space="preserve">29/01/2024</t>
  </si>
  <si>
    <t xml:space="preserve">30/01/2024</t>
  </si>
  <si>
    <t xml:space="preserve">31/01/2024</t>
  </si>
  <si>
    <t xml:space="preserve">Dados de solo</t>
  </si>
  <si>
    <t xml:space="preserve">Ucc (%)</t>
  </si>
  <si>
    <t xml:space="preserve">Upmp (%)</t>
  </si>
  <si>
    <t xml:space="preserve">Ds (g/cm³)</t>
  </si>
  <si>
    <t xml:space="preserve">Fase</t>
  </si>
  <si>
    <t xml:space="preserve">Duração</t>
  </si>
  <si>
    <t xml:space="preserve">kc</t>
  </si>
  <si>
    <t xml:space="preserve">f</t>
  </si>
  <si>
    <t xml:space="preserve">z</t>
  </si>
  <si>
    <t xml:space="preserve">Germinação e emergência</t>
  </si>
  <si>
    <t xml:space="preserve">Desenvolvimento vegetativo</t>
  </si>
  <si>
    <t xml:space="preserve">Floração e enchimento</t>
  </si>
  <si>
    <t xml:space="preserve">Maturação</t>
  </si>
  <si>
    <t xml:space="preserve">Data</t>
  </si>
  <si>
    <t xml:space="preserve">Preciptação</t>
  </si>
  <si>
    <t xml:space="preserve">ETC</t>
  </si>
  <si>
    <t xml:space="preserve">CAD</t>
  </si>
  <si>
    <t xml:space="preserve">LC</t>
  </si>
  <si>
    <t xml:space="preserve">Área(ha)</t>
  </si>
  <si>
    <t xml:space="preserve">Lâmina (mm)</t>
  </si>
  <si>
    <t xml:space="preserve">Tempo de funcionamento (h)</t>
  </si>
  <si>
    <t xml:space="preserve">Potência (cv)</t>
  </si>
  <si>
    <t xml:space="preserve">Potência (kw/h)</t>
  </si>
  <si>
    <t xml:space="preserve">Vazão (m³/h)</t>
  </si>
  <si>
    <t xml:space="preserve">Balanço (m)</t>
  </si>
  <si>
    <t xml:space="preserve">Raio irrigado (m)</t>
  </si>
  <si>
    <t xml:space="preserve">Raio última torre (m)</t>
  </si>
  <si>
    <t xml:space="preserve">Velocidade a 100% (m/h)</t>
  </si>
  <si>
    <t xml:space="preserve">Perímetro (m)</t>
  </si>
  <si>
    <t xml:space="preserve">Tempo à 100% (h)</t>
  </si>
  <si>
    <t xml:space="preserve">Lâmina à 100% (mm)</t>
  </si>
  <si>
    <t xml:space="preserve">TARIFA BRANCA</t>
  </si>
  <si>
    <t xml:space="preserve">BANDEIRA VERDE - CONSUMO R$/KWH</t>
  </si>
  <si>
    <t xml:space="preserve">BANDEIRA AMARELA - CONSUMO R$/KWH</t>
  </si>
  <si>
    <t xml:space="preserve">BANDEIRA VERMELHA 1 - CONSUMO R$/KWH</t>
  </si>
  <si>
    <t xml:space="preserve">BANDEIRA VERMELHA 2 - CONSUMO R$/KWH</t>
  </si>
  <si>
    <t xml:space="preserve">​B1 - RESIDENCIAL - Ponta</t>
  </si>
  <si>
    <t xml:space="preserve">​B1 -RESIDENCIAL - Intermediário</t>
  </si>
  <si>
    <t xml:space="preserve">​B1 - RESIDENCIAL - F. Ponta</t>
  </si>
  <si>
    <t xml:space="preserve">​B1 GD - RESIDENCIAL - Ponta</t>
  </si>
  <si>
    <t xml:space="preserve">​B1 GD -RESIDENCIAL - Intermediário</t>
  </si>
  <si>
    <t xml:space="preserve">​B1 GD - RESIDENCIAL - F. Ponta</t>
  </si>
  <si>
    <t xml:space="preserve">B2 - RURAL - Ponta</t>
  </si>
  <si>
    <t xml:space="preserve">​B2 - RURAL - Intermediário</t>
  </si>
  <si>
    <t xml:space="preserve">​B2 - RURAL - F. Ponta</t>
  </si>
  <si>
    <t xml:space="preserve">B2 GD - RURAL - Ponta</t>
  </si>
  <si>
    <t xml:space="preserve">​B2 GD - RURAL - F. Ponta</t>
  </si>
  <si>
    <t xml:space="preserve">​B2 GD - RURAL - Intermediário</t>
  </si>
  <si>
    <t xml:space="preserve">​B3 - DEMAIS CLASSES - Ponta</t>
  </si>
  <si>
    <t xml:space="preserve">​B3 - DEMAIS CLASSES - Intermediário</t>
  </si>
  <si>
    <t xml:space="preserve">​B3 - DEMAIS CLASSES - F. Ponta</t>
  </si>
  <si>
    <t xml:space="preserve">​B3 GD - DEMAIS CLASSES - Ponta</t>
  </si>
  <si>
    <t xml:space="preserve">​B3 GD - DEMAIS CLASSES - Intermediário</t>
  </si>
  <si>
    <t xml:space="preserve">​B3 GD - DEMAIS CLASSES - F. Ponta</t>
  </si>
  <si>
    <t xml:space="preserve">Velocidade do Pivô</t>
  </si>
  <si>
    <t xml:space="preserve">Volta</t>
  </si>
  <si>
    <t xml:space="preserve">Lâmina</t>
  </si>
  <si>
    <t xml:space="preserve">Custo</t>
  </si>
  <si>
    <t xml:space="preserve">(%)</t>
  </si>
  <si>
    <t xml:space="preserve">(h.min)</t>
  </si>
  <si>
    <t xml:space="preserve">(mm)</t>
  </si>
  <si>
    <t xml:space="preserve">(R$)</t>
  </si>
  <si>
    <t xml:space="preserve">ID</t>
  </si>
  <si>
    <t xml:space="preserve">Agua Inicial</t>
  </si>
  <si>
    <t xml:space="preserve">Irrigação</t>
  </si>
  <si>
    <t xml:space="preserve">Agua Final</t>
  </si>
  <si>
    <t xml:space="preserve">Excesso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</si>
</sst>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d/m/yyyy"/>
    <numFmt numFmtId="167" formatCode="#,##0.00"/>
    <numFmt numFmtId="168" formatCode="0.00%"/>
    <numFmt numFmtId="169" formatCode="0%"/>
    <numFmt numFmtId="170" formatCode="0.0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34"/>
    </font>
    <font>
      <sz val="11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u val="singl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8" min="1" style="0" width="16.38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75" hidden="false" customHeight="false" outlineLevel="0" collapsed="false">
      <c r="A2" s="1" t="s">
        <v>8</v>
      </c>
      <c r="B2" s="2" t="n">
        <v>13.2877762925209</v>
      </c>
      <c r="C2" s="2" t="n">
        <v>0.640150262831352</v>
      </c>
      <c r="D2" s="2" t="n">
        <v>4.06498897899444</v>
      </c>
      <c r="E2" s="2" t="n">
        <v>0</v>
      </c>
      <c r="F2" s="2" t="n">
        <v>4.70513924182579</v>
      </c>
      <c r="G2" s="2" t="n">
        <v>0</v>
      </c>
      <c r="H2" s="1" t="n">
        <v>27.8</v>
      </c>
    </row>
    <row r="3" customFormat="false" ht="12.75" hidden="false" customHeight="false" outlineLevel="0" collapsed="false">
      <c r="A3" s="1" t="s">
        <v>9</v>
      </c>
      <c r="B3" s="2" t="n">
        <v>24.7988977178894</v>
      </c>
      <c r="C3" s="2" t="n">
        <v>2.28887857463147</v>
      </c>
      <c r="D3" s="2" t="n">
        <v>0</v>
      </c>
      <c r="E3" s="2" t="n">
        <v>0</v>
      </c>
      <c r="F3" s="2" t="n">
        <v>2.28887857463147</v>
      </c>
      <c r="G3" s="2" t="n">
        <v>13.8</v>
      </c>
      <c r="H3" s="1" t="n">
        <v>23.5</v>
      </c>
    </row>
    <row r="4" customFormat="false" ht="12.75" hidden="false" customHeight="false" outlineLevel="0" collapsed="false">
      <c r="A4" s="1" t="s">
        <v>10</v>
      </c>
      <c r="B4" s="2" t="n">
        <v>23.9744626758799</v>
      </c>
      <c r="C4" s="2" t="n">
        <v>0.824435042009483</v>
      </c>
      <c r="D4" s="2" t="n">
        <v>2.5565646236081</v>
      </c>
      <c r="E4" s="2" t="n">
        <v>0</v>
      </c>
      <c r="F4" s="2" t="n">
        <v>3.38099966561758</v>
      </c>
      <c r="G4" s="2" t="n">
        <v>0</v>
      </c>
      <c r="H4" s="1" t="n">
        <v>26.3</v>
      </c>
    </row>
    <row r="5" customFormat="false" ht="12.75" hidden="false" customHeight="false" outlineLevel="0" collapsed="false">
      <c r="A5" s="1" t="s">
        <v>11</v>
      </c>
      <c r="B5" s="2" t="n">
        <v>23.1570493312305</v>
      </c>
      <c r="C5" s="2" t="n">
        <v>0.817413344649474</v>
      </c>
      <c r="D5" s="2" t="n">
        <v>2.65158342930886</v>
      </c>
      <c r="E5" s="2" t="n">
        <v>0</v>
      </c>
      <c r="F5" s="2" t="n">
        <v>3.46899677395833</v>
      </c>
      <c r="G5" s="2" t="n">
        <v>0</v>
      </c>
      <c r="H5" s="1" t="n">
        <v>27.1</v>
      </c>
    </row>
    <row r="6" customFormat="false" ht="12.75" hidden="false" customHeight="false" outlineLevel="0" collapsed="false">
      <c r="A6" s="1" t="s">
        <v>12</v>
      </c>
      <c r="B6" s="2" t="n">
        <v>22.4476284079368</v>
      </c>
      <c r="C6" s="2" t="n">
        <v>0.709420923293635</v>
      </c>
      <c r="D6" s="2" t="n">
        <v>2.40200619317495</v>
      </c>
      <c r="E6" s="2" t="n">
        <v>0</v>
      </c>
      <c r="F6" s="2" t="n">
        <v>3.11142711646858</v>
      </c>
      <c r="G6" s="2" t="n">
        <v>0</v>
      </c>
      <c r="H6" s="1" t="n">
        <v>27.7</v>
      </c>
    </row>
    <row r="7" customFormat="false" ht="12.75" hidden="false" customHeight="false" outlineLevel="0" collapsed="false">
      <c r="A7" s="1" t="s">
        <v>13</v>
      </c>
      <c r="B7" s="2" t="n">
        <v>21.8715657345856</v>
      </c>
      <c r="C7" s="2" t="n">
        <v>1.37606267335126</v>
      </c>
      <c r="D7" s="2" t="n">
        <v>2.02369181015896</v>
      </c>
      <c r="E7" s="2" t="n">
        <v>0</v>
      </c>
      <c r="F7" s="2" t="n">
        <v>3.39975448351022</v>
      </c>
      <c r="G7" s="2" t="n">
        <v>0.8</v>
      </c>
      <c r="H7" s="1" t="n">
        <v>26.9</v>
      </c>
    </row>
    <row r="8" customFormat="false" ht="12.75" hidden="false" customHeight="false" outlineLevel="0" collapsed="false">
      <c r="A8" s="1" t="s">
        <v>14</v>
      </c>
      <c r="B8" s="2" t="n">
        <v>25.8011453185741</v>
      </c>
      <c r="C8" s="2" t="n">
        <v>2.87042041601151</v>
      </c>
      <c r="D8" s="2" t="n">
        <v>0</v>
      </c>
      <c r="E8" s="2" t="n">
        <v>0</v>
      </c>
      <c r="F8" s="2" t="n">
        <v>2.87042041601151</v>
      </c>
      <c r="G8" s="2" t="n">
        <v>6.8</v>
      </c>
      <c r="H8" s="1" t="n">
        <v>26.4</v>
      </c>
    </row>
    <row r="9" customFormat="false" ht="12.75" hidden="false" customHeight="false" outlineLevel="0" collapsed="false">
      <c r="A9" s="1" t="s">
        <v>15</v>
      </c>
      <c r="B9" s="2" t="n">
        <v>24.9474259766158</v>
      </c>
      <c r="C9" s="2" t="n">
        <v>0.853719341958232</v>
      </c>
      <c r="D9" s="2" t="n">
        <v>2.51110401099659</v>
      </c>
      <c r="E9" s="2" t="n">
        <v>0</v>
      </c>
      <c r="F9" s="2" t="n">
        <v>3.36482335295482</v>
      </c>
      <c r="G9" s="2" t="n">
        <v>0</v>
      </c>
      <c r="H9" s="1" t="n">
        <v>27.9</v>
      </c>
    </row>
    <row r="10" customFormat="false" ht="12.75" hidden="false" customHeight="false" outlineLevel="0" collapsed="false">
      <c r="A10" s="1" t="s">
        <v>16</v>
      </c>
      <c r="B10" s="2" t="n">
        <v>24.4634091700322</v>
      </c>
      <c r="C10" s="2" t="n">
        <v>1.82691680658359</v>
      </c>
      <c r="D10" s="2" t="n">
        <v>1.47519836406761</v>
      </c>
      <c r="E10" s="2" t="n">
        <v>0</v>
      </c>
      <c r="F10" s="2" t="n">
        <v>3.30211517065119</v>
      </c>
      <c r="G10" s="2" t="n">
        <v>1.3429</v>
      </c>
      <c r="H10" s="1" t="n">
        <v>26.8</v>
      </c>
    </row>
    <row r="11" customFormat="false" ht="12.75" hidden="false" customHeight="false" outlineLevel="0" collapsed="false">
      <c r="A11" s="1" t="s">
        <v>17</v>
      </c>
      <c r="B11" s="2" t="n">
        <v>23.5782879496727</v>
      </c>
      <c r="C11" s="2" t="n">
        <v>1.08512122035952</v>
      </c>
      <c r="D11" s="2" t="n">
        <v>2.80009992580582</v>
      </c>
      <c r="E11" s="2" t="n">
        <v>0</v>
      </c>
      <c r="F11" s="2" t="n">
        <v>3.88522114616533</v>
      </c>
      <c r="G11" s="2" t="n">
        <v>0.2</v>
      </c>
      <c r="H11" s="1" t="n">
        <v>28.2</v>
      </c>
    </row>
    <row r="12" customFormat="false" ht="12.75" hidden="false" customHeight="false" outlineLevel="0" collapsed="false">
      <c r="A12" s="1" t="s">
        <v>18</v>
      </c>
      <c r="B12" s="2" t="n">
        <v>22.0952933029367</v>
      </c>
      <c r="C12" s="2" t="n">
        <v>1.48299464673603</v>
      </c>
      <c r="D12" s="2" t="n">
        <v>5.0131726845986</v>
      </c>
      <c r="E12" s="2" t="n">
        <v>0</v>
      </c>
      <c r="F12" s="2" t="n">
        <v>6.49616733133463</v>
      </c>
      <c r="G12" s="2" t="n">
        <v>0</v>
      </c>
      <c r="H12" s="1" t="n">
        <v>29.6</v>
      </c>
    </row>
    <row r="13" customFormat="false" ht="12.75" hidden="false" customHeight="false" outlineLevel="0" collapsed="false">
      <c r="A13" s="1" t="s">
        <v>19</v>
      </c>
      <c r="B13" s="2" t="n">
        <v>20.8639330267825</v>
      </c>
      <c r="C13" s="2" t="n">
        <v>1.23136027615417</v>
      </c>
      <c r="D13" s="2" t="n">
        <v>4.5029034612703</v>
      </c>
      <c r="E13" s="2" t="n">
        <v>0</v>
      </c>
      <c r="F13" s="2" t="n">
        <v>5.73426373742447</v>
      </c>
      <c r="G13" s="2" t="n">
        <v>0</v>
      </c>
      <c r="H13" s="1" t="n">
        <v>29.4</v>
      </c>
    </row>
    <row r="14" customFormat="false" ht="12.75" hidden="false" customHeight="false" outlineLevel="0" collapsed="false">
      <c r="A14" s="1" t="s">
        <v>20</v>
      </c>
      <c r="B14" s="2" t="n">
        <v>19.8350292274563</v>
      </c>
      <c r="C14" s="2" t="n">
        <v>1.02890379932625</v>
      </c>
      <c r="D14" s="2" t="n">
        <v>4.02834102618543</v>
      </c>
      <c r="E14" s="2" t="n">
        <v>0</v>
      </c>
      <c r="F14" s="2" t="n">
        <v>5.05724482551168</v>
      </c>
      <c r="G14" s="2" t="n">
        <v>0</v>
      </c>
      <c r="H14" s="1" t="n">
        <v>27.7</v>
      </c>
    </row>
    <row r="15" customFormat="false" ht="12.75" hidden="false" customHeight="false" outlineLevel="0" collapsed="false">
      <c r="A15" s="1" t="s">
        <v>21</v>
      </c>
      <c r="B15" s="2" t="n">
        <v>18.970173337451</v>
      </c>
      <c r="C15" s="2" t="n">
        <v>0.864855890005291</v>
      </c>
      <c r="D15" s="2" t="n">
        <v>3.59330472381189</v>
      </c>
      <c r="E15" s="2" t="n">
        <v>0</v>
      </c>
      <c r="F15" s="2" t="n">
        <v>4.45816061381719</v>
      </c>
      <c r="G15" s="2" t="n">
        <v>0</v>
      </c>
      <c r="H15" s="1" t="n">
        <v>27.2</v>
      </c>
    </row>
    <row r="16" customFormat="false" ht="12.75" hidden="false" customHeight="false" outlineLevel="0" collapsed="false">
      <c r="A16" s="1" t="s">
        <v>22</v>
      </c>
      <c r="B16" s="2" t="n">
        <v>17.5670915809225</v>
      </c>
      <c r="C16" s="2" t="n">
        <v>1.40308175652846</v>
      </c>
      <c r="D16" s="2" t="n">
        <v>6.28097485372005</v>
      </c>
      <c r="E16" s="2" t="n">
        <v>0</v>
      </c>
      <c r="F16" s="2" t="n">
        <v>7.6840566102485</v>
      </c>
      <c r="G16" s="2" t="n">
        <v>0</v>
      </c>
      <c r="H16" s="1" t="n">
        <v>28.7</v>
      </c>
    </row>
    <row r="17" customFormat="false" ht="12.75" hidden="false" customHeight="false" outlineLevel="0" collapsed="false">
      <c r="A17" s="1" t="s">
        <v>23</v>
      </c>
      <c r="B17" s="2" t="n">
        <v>16.3391213965494</v>
      </c>
      <c r="C17" s="2" t="n">
        <v>1.22797018437314</v>
      </c>
      <c r="D17" s="2" t="n">
        <v>6.01853355250744</v>
      </c>
      <c r="E17" s="2" t="n">
        <v>0</v>
      </c>
      <c r="F17" s="2" t="n">
        <v>7.24650373688058</v>
      </c>
      <c r="G17" s="2" t="n">
        <v>0</v>
      </c>
      <c r="H17" s="1" t="n">
        <v>28.3</v>
      </c>
    </row>
    <row r="18" customFormat="false" ht="12.75" hidden="false" customHeight="false" outlineLevel="0" collapsed="false">
      <c r="A18" s="1" t="s">
        <v>24</v>
      </c>
      <c r="B18" s="2" t="n">
        <v>15.3354552379598</v>
      </c>
      <c r="C18" s="2" t="n">
        <v>1.00366615858956</v>
      </c>
      <c r="D18" s="2" t="n">
        <v>5.33581729682914</v>
      </c>
      <c r="E18" s="2" t="n">
        <v>0</v>
      </c>
      <c r="F18" s="2" t="n">
        <v>6.3394834554187</v>
      </c>
      <c r="G18" s="2" t="n">
        <v>0</v>
      </c>
      <c r="H18" s="1" t="n">
        <v>28.2</v>
      </c>
    </row>
    <row r="19" customFormat="false" ht="12.75" hidden="false" customHeight="false" outlineLevel="0" collapsed="false">
      <c r="A19" s="1" t="s">
        <v>25</v>
      </c>
      <c r="B19" s="2" t="n">
        <v>14.4288724422917</v>
      </c>
      <c r="C19" s="2" t="n">
        <v>0.906582795668106</v>
      </c>
      <c r="D19" s="2" t="n">
        <v>5.18704254689278</v>
      </c>
      <c r="E19" s="2" t="n">
        <v>0</v>
      </c>
      <c r="F19" s="2" t="n">
        <v>6.09362534256089</v>
      </c>
      <c r="G19" s="2" t="n">
        <v>0</v>
      </c>
      <c r="H19" s="1" t="n">
        <v>28.5</v>
      </c>
    </row>
    <row r="20" customFormat="false" ht="12.75" hidden="false" customHeight="false" outlineLevel="0" collapsed="false">
      <c r="A20" s="1" t="s">
        <v>26</v>
      </c>
      <c r="B20" s="2" t="n">
        <v>13.4814368682525</v>
      </c>
      <c r="C20" s="2" t="n">
        <v>0.947435574039268</v>
      </c>
      <c r="D20" s="2" t="n">
        <v>5.84431817610842</v>
      </c>
      <c r="E20" s="2" t="n">
        <v>0</v>
      </c>
      <c r="F20" s="2" t="n">
        <v>6.79175375014769</v>
      </c>
      <c r="G20" s="2" t="n">
        <v>0</v>
      </c>
      <c r="H20" s="1" t="n">
        <v>30.5</v>
      </c>
    </row>
    <row r="21" customFormat="false" ht="15.75" hidden="false" customHeight="true" outlineLevel="0" collapsed="false">
      <c r="A21" s="1" t="s">
        <v>27</v>
      </c>
      <c r="B21" s="2" t="n">
        <v>12.5510694726365</v>
      </c>
      <c r="C21" s="2" t="n">
        <v>0.930367395615924</v>
      </c>
      <c r="D21" s="2" t="n">
        <v>6.22041395575592</v>
      </c>
      <c r="E21" s="2" t="n">
        <v>0</v>
      </c>
      <c r="F21" s="2" t="n">
        <v>7.15078135137184</v>
      </c>
      <c r="G21" s="2" t="n">
        <v>0</v>
      </c>
      <c r="H21" s="1" t="n">
        <v>29.7</v>
      </c>
    </row>
    <row r="22" customFormat="false" ht="15.75" hidden="false" customHeight="true" outlineLevel="0" collapsed="false">
      <c r="A22" s="1" t="s">
        <v>28</v>
      </c>
      <c r="B22" s="2" t="n">
        <v>17.6078470188108</v>
      </c>
      <c r="C22" s="2" t="n">
        <v>3.54322245382569</v>
      </c>
      <c r="D22" s="2" t="n">
        <v>0</v>
      </c>
      <c r="E22" s="2" t="n">
        <v>0</v>
      </c>
      <c r="F22" s="2" t="n">
        <v>3.54322245382569</v>
      </c>
      <c r="G22" s="2" t="n">
        <v>8.6</v>
      </c>
      <c r="H22" s="1" t="n">
        <v>26.6</v>
      </c>
    </row>
    <row r="23" customFormat="false" ht="15.75" hidden="false" customHeight="true" outlineLevel="0" collapsed="false">
      <c r="A23" s="1" t="s">
        <v>29</v>
      </c>
      <c r="B23" s="2" t="n">
        <v>16.7147045407829</v>
      </c>
      <c r="C23" s="2" t="n">
        <v>0.893142478027915</v>
      </c>
      <c r="D23" s="2" t="n">
        <v>4.31243878182277</v>
      </c>
      <c r="E23" s="2" t="n">
        <v>0</v>
      </c>
      <c r="F23" s="2" t="n">
        <v>5.20558125985069</v>
      </c>
      <c r="G23" s="2" t="n">
        <v>0</v>
      </c>
      <c r="H23" s="1" t="n">
        <v>28</v>
      </c>
    </row>
    <row r="24" customFormat="false" ht="15.75" hidden="false" customHeight="true" outlineLevel="0" collapsed="false">
      <c r="A24" s="1" t="s">
        <v>30</v>
      </c>
      <c r="B24" s="2" t="n">
        <v>15.6521352613442</v>
      </c>
      <c r="C24" s="2" t="n">
        <v>1.0625692794387</v>
      </c>
      <c r="D24" s="2" t="n">
        <v>5.50558045258309</v>
      </c>
      <c r="E24" s="2" t="n">
        <v>0</v>
      </c>
      <c r="F24" s="2" t="n">
        <v>6.56814973202179</v>
      </c>
      <c r="G24" s="2" t="n">
        <v>0</v>
      </c>
      <c r="H24" s="1" t="n">
        <v>29</v>
      </c>
    </row>
    <row r="25" customFormat="false" ht="15.75" hidden="false" customHeight="true" outlineLevel="0" collapsed="false">
      <c r="A25" s="1" t="s">
        <v>31</v>
      </c>
      <c r="B25" s="2" t="n">
        <v>14.8071373622018</v>
      </c>
      <c r="C25" s="2" t="n">
        <v>0.844997899142458</v>
      </c>
      <c r="D25" s="2" t="n">
        <v>4.70480483867079</v>
      </c>
      <c r="E25" s="2" t="n">
        <v>0</v>
      </c>
      <c r="F25" s="2" t="n">
        <v>5.54980273781325</v>
      </c>
      <c r="G25" s="2" t="n">
        <v>0</v>
      </c>
      <c r="H25" s="1" t="n">
        <v>29.2</v>
      </c>
    </row>
    <row r="26" customFormat="false" ht="15.75" hidden="false" customHeight="true" outlineLevel="0" collapsed="false">
      <c r="A26" s="1" t="s">
        <v>32</v>
      </c>
      <c r="B26" s="2" t="n">
        <v>13.9363213723301</v>
      </c>
      <c r="C26" s="2" t="n">
        <v>1.04219098987171</v>
      </c>
      <c r="D26" s="2" t="n">
        <v>5.1902678396477</v>
      </c>
      <c r="E26" s="2" t="n">
        <v>0</v>
      </c>
      <c r="F26" s="2" t="n">
        <v>6.23245882951941</v>
      </c>
      <c r="G26" s="2" t="n">
        <v>0.171375</v>
      </c>
      <c r="H26" s="1" t="n">
        <v>28.2</v>
      </c>
    </row>
    <row r="27" customFormat="false" ht="15.75" hidden="false" customHeight="true" outlineLevel="0" collapsed="false">
      <c r="A27" s="1" t="s">
        <v>33</v>
      </c>
      <c r="B27" s="2" t="n">
        <v>13.8766516216324</v>
      </c>
      <c r="C27" s="2" t="n">
        <v>2.89565975069766</v>
      </c>
      <c r="D27" s="2" t="n">
        <v>0.369409458190855</v>
      </c>
      <c r="E27" s="2" t="n">
        <v>0</v>
      </c>
      <c r="F27" s="2" t="n">
        <v>3.26506920888851</v>
      </c>
      <c r="G27" s="2" t="n">
        <v>2.83599</v>
      </c>
      <c r="H27" s="1" t="n">
        <v>27.2</v>
      </c>
    </row>
    <row r="28" customFormat="false" ht="15.75" hidden="false" customHeight="true" outlineLevel="0" collapsed="false">
      <c r="A28" s="1" t="s">
        <v>34</v>
      </c>
      <c r="B28" s="2" t="n">
        <v>13.4379241900801</v>
      </c>
      <c r="C28" s="2" t="n">
        <v>0.43872743155231</v>
      </c>
      <c r="D28" s="2" t="n">
        <v>2.77395410026017</v>
      </c>
      <c r="E28" s="2" t="n">
        <v>0</v>
      </c>
      <c r="F28" s="2" t="n">
        <v>3.21268153181248</v>
      </c>
      <c r="G28" s="2" t="n">
        <v>0</v>
      </c>
      <c r="H28" s="1" t="n">
        <v>26.9</v>
      </c>
    </row>
    <row r="29" customFormat="false" ht="15.75" hidden="false" customHeight="true" outlineLevel="0" collapsed="false">
      <c r="A29" s="1" t="s">
        <v>35</v>
      </c>
      <c r="B29" s="2" t="n">
        <v>12.9477089308857</v>
      </c>
      <c r="C29" s="2" t="n">
        <v>0.490215259194397</v>
      </c>
      <c r="D29" s="2" t="n">
        <v>3.22598644715105</v>
      </c>
      <c r="E29" s="2" t="n">
        <v>0</v>
      </c>
      <c r="F29" s="2" t="n">
        <v>3.71620170634544</v>
      </c>
      <c r="G29" s="2" t="n">
        <v>0</v>
      </c>
      <c r="H29" s="1" t="n">
        <v>25.8</v>
      </c>
    </row>
    <row r="30" customFormat="false" ht="15.75" hidden="false" customHeight="true" outlineLevel="0" collapsed="false">
      <c r="A30" s="1" t="s">
        <v>36</v>
      </c>
      <c r="B30" s="2" t="n">
        <v>13.4299570926615</v>
      </c>
      <c r="C30" s="2" t="n">
        <v>5.00266183822422</v>
      </c>
      <c r="D30" s="2" t="n">
        <v>0</v>
      </c>
      <c r="E30" s="2" t="n">
        <v>0</v>
      </c>
      <c r="F30" s="2" t="n">
        <v>5.00266183822422</v>
      </c>
      <c r="G30" s="2" t="n">
        <v>5.48491</v>
      </c>
      <c r="H30" s="1" t="n">
        <v>29</v>
      </c>
    </row>
    <row r="31" customFormat="false" ht="15.75" hidden="false" customHeight="true" outlineLevel="0" collapsed="false">
      <c r="A31" s="1" t="s">
        <v>37</v>
      </c>
      <c r="B31" s="2" t="n">
        <v>12.5398439655265</v>
      </c>
      <c r="C31" s="2" t="n">
        <v>0.890113127134963</v>
      </c>
      <c r="D31" s="2" t="n">
        <v>5.96755921843464</v>
      </c>
      <c r="E31" s="2" t="n">
        <v>0</v>
      </c>
      <c r="F31" s="2" t="n">
        <v>6.85767234556961</v>
      </c>
      <c r="G31" s="2" t="n">
        <v>0</v>
      </c>
      <c r="H31" s="1" t="n">
        <v>29.5</v>
      </c>
    </row>
    <row r="32" customFormat="false" ht="15.75" hidden="false" customHeight="true" outlineLevel="0" collapsed="false">
      <c r="A32" s="1" t="s">
        <v>38</v>
      </c>
      <c r="B32" s="2" t="n">
        <v>11.831136661986</v>
      </c>
      <c r="C32" s="2" t="n">
        <v>0.708707303540491</v>
      </c>
      <c r="D32" s="2" t="n">
        <v>5.1089262768751</v>
      </c>
      <c r="E32" s="2" t="n">
        <v>0</v>
      </c>
      <c r="F32" s="2" t="n">
        <v>5.81763358041559</v>
      </c>
      <c r="G32" s="2" t="n">
        <v>0</v>
      </c>
      <c r="H32" s="1" t="n">
        <v>28.5</v>
      </c>
    </row>
    <row r="33" customFormat="false" ht="15.75" hidden="false" customHeight="true" outlineLevel="0" collapsed="false">
      <c r="A33" s="1" t="s">
        <v>39</v>
      </c>
      <c r="B33" s="2" t="n">
        <v>11.8106062613999</v>
      </c>
      <c r="C33" s="2" t="n">
        <v>3.98316040058617</v>
      </c>
      <c r="D33" s="2" t="n">
        <v>0.153148890432656</v>
      </c>
      <c r="E33" s="2" t="n">
        <v>0</v>
      </c>
      <c r="F33" s="2" t="n">
        <v>4.13630929101883</v>
      </c>
      <c r="G33" s="2" t="n">
        <v>3.96263</v>
      </c>
      <c r="H33" s="1" t="n">
        <v>27.3</v>
      </c>
    </row>
    <row r="34" customFormat="false" ht="15.75" hidden="false" customHeight="true" outlineLevel="0" collapsed="false">
      <c r="A34" s="1" t="s">
        <v>40</v>
      </c>
      <c r="B34" s="2" t="n">
        <v>11.1323424701019</v>
      </c>
      <c r="C34" s="2" t="n">
        <v>1.22195479129799</v>
      </c>
      <c r="D34" s="2" t="n">
        <v>5.23607178971795</v>
      </c>
      <c r="E34" s="2" t="n">
        <v>0</v>
      </c>
      <c r="F34" s="2" t="n">
        <v>6.45802658101594</v>
      </c>
      <c r="G34" s="2" t="n">
        <v>0.543691</v>
      </c>
      <c r="H34" s="1" t="n">
        <v>28.3</v>
      </c>
    </row>
    <row r="35" customFormat="false" ht="15.75" hidden="false" customHeight="true" outlineLevel="0" collapsed="false">
      <c r="A35" s="1" t="s">
        <v>41</v>
      </c>
      <c r="B35" s="2" t="n">
        <v>15.2916058307517</v>
      </c>
      <c r="C35" s="2" t="n">
        <v>2.84073663935018</v>
      </c>
      <c r="D35" s="2" t="n">
        <v>0</v>
      </c>
      <c r="E35" s="2" t="n">
        <v>0</v>
      </c>
      <c r="F35" s="2" t="n">
        <v>2.84073663935018</v>
      </c>
      <c r="G35" s="2" t="n">
        <v>7</v>
      </c>
      <c r="H35" s="1" t="n">
        <v>25.6</v>
      </c>
    </row>
    <row r="36" customFormat="false" ht="15.75" hidden="false" customHeight="true" outlineLevel="0" collapsed="false">
      <c r="A36" s="1" t="s">
        <v>42</v>
      </c>
      <c r="B36" s="2" t="n">
        <v>14.9361246779649</v>
      </c>
      <c r="C36" s="2" t="n">
        <v>0.355481152786812</v>
      </c>
      <c r="D36" s="2" t="n">
        <v>1.99664741155587</v>
      </c>
      <c r="E36" s="2" t="n">
        <v>0</v>
      </c>
      <c r="F36" s="2" t="n">
        <v>2.35212856434268</v>
      </c>
      <c r="G36" s="2" t="n">
        <v>0</v>
      </c>
      <c r="H36" s="1" t="n">
        <v>24.8</v>
      </c>
    </row>
    <row r="37" customFormat="false" ht="15.75" hidden="false" customHeight="true" outlineLevel="0" collapsed="false">
      <c r="A37" s="1" t="s">
        <v>43</v>
      </c>
      <c r="B37" s="2" t="n">
        <v>14.6477651920288</v>
      </c>
      <c r="C37" s="2" t="n">
        <v>2.28835948593609</v>
      </c>
      <c r="D37" s="2" t="n">
        <v>1.66113816179996</v>
      </c>
      <c r="E37" s="2" t="n">
        <v>0</v>
      </c>
      <c r="F37" s="2" t="n">
        <v>3.94949764773605</v>
      </c>
      <c r="G37" s="2" t="n">
        <v>2</v>
      </c>
      <c r="H37" s="1" t="n">
        <v>26.7</v>
      </c>
    </row>
    <row r="38" customFormat="false" ht="15.75" hidden="false" customHeight="true" outlineLevel="0" collapsed="false">
      <c r="A38" s="1" t="s">
        <v>44</v>
      </c>
      <c r="B38" s="2" t="n">
        <v>14.1510376355425</v>
      </c>
      <c r="C38" s="2" t="n">
        <v>0.496727556486279</v>
      </c>
      <c r="D38" s="2" t="n">
        <v>2.95325491082026</v>
      </c>
      <c r="E38" s="2" t="n">
        <v>0</v>
      </c>
      <c r="F38" s="2" t="n">
        <v>3.44998246730654</v>
      </c>
      <c r="G38" s="2" t="n">
        <v>0</v>
      </c>
      <c r="H38" s="1" t="n">
        <v>27.3</v>
      </c>
    </row>
    <row r="39" customFormat="false" ht="15.75" hidden="false" customHeight="true" outlineLevel="0" collapsed="false">
      <c r="A39" s="1" t="s">
        <v>45</v>
      </c>
      <c r="B39" s="2" t="n">
        <v>13.5871730252171</v>
      </c>
      <c r="C39" s="2" t="n">
        <v>0.563864610325394</v>
      </c>
      <c r="D39" s="2" t="n">
        <v>3.50231186548121</v>
      </c>
      <c r="E39" s="2" t="n">
        <v>0</v>
      </c>
      <c r="F39" s="2" t="n">
        <v>4.06617647580661</v>
      </c>
      <c r="G39" s="2" t="n">
        <v>0</v>
      </c>
      <c r="H39" s="1" t="n">
        <v>26.9</v>
      </c>
    </row>
    <row r="40" customFormat="false" ht="15.75" hidden="false" customHeight="true" outlineLevel="0" collapsed="false">
      <c r="A40" s="1" t="s">
        <v>46</v>
      </c>
      <c r="B40" s="2" t="n">
        <v>12.9072883373738</v>
      </c>
      <c r="C40" s="2" t="n">
        <v>0.679884687843295</v>
      </c>
      <c r="D40" s="2" t="n">
        <v>4.45352016822384</v>
      </c>
      <c r="E40" s="2" t="n">
        <v>0</v>
      </c>
      <c r="F40" s="2" t="n">
        <v>5.13340485606714</v>
      </c>
      <c r="G40" s="2" t="n">
        <v>0</v>
      </c>
      <c r="H40" s="1" t="n">
        <v>26.7</v>
      </c>
    </row>
    <row r="41" customFormat="false" ht="15.75" hidden="false" customHeight="true" outlineLevel="0" collapsed="false">
      <c r="A41" s="1" t="s">
        <v>47</v>
      </c>
      <c r="B41" s="2" t="n">
        <v>12.2656649547808</v>
      </c>
      <c r="C41" s="2" t="n">
        <v>0.641623382592975</v>
      </c>
      <c r="D41" s="2" t="n">
        <v>4.4572013512459</v>
      </c>
      <c r="E41" s="2" t="n">
        <v>0</v>
      </c>
      <c r="F41" s="2" t="n">
        <v>5.09882473383888</v>
      </c>
      <c r="G41" s="2" t="n">
        <v>0</v>
      </c>
      <c r="H41" s="1" t="n">
        <v>26.4</v>
      </c>
    </row>
    <row r="42" customFormat="false" ht="15.75" hidden="false" customHeight="true" outlineLevel="0" collapsed="false">
      <c r="A42" s="1" t="s">
        <v>48</v>
      </c>
      <c r="B42" s="2" t="n">
        <v>11.6125853429042</v>
      </c>
      <c r="C42" s="2" t="n">
        <v>0.653079611876617</v>
      </c>
      <c r="D42" s="2" t="n">
        <v>4.81836424180634</v>
      </c>
      <c r="E42" s="2" t="n">
        <v>0</v>
      </c>
      <c r="F42" s="2" t="n">
        <v>5.47144385368295</v>
      </c>
      <c r="G42" s="2" t="n">
        <v>0</v>
      </c>
      <c r="H42" s="1" t="n">
        <v>27</v>
      </c>
    </row>
    <row r="43" customFormat="false" ht="15.75" hidden="false" customHeight="true" outlineLevel="0" collapsed="false">
      <c r="A43" s="1" t="s">
        <v>49</v>
      </c>
      <c r="B43" s="2" t="n">
        <v>10.920990897482</v>
      </c>
      <c r="C43" s="2" t="n">
        <v>0.691594445422178</v>
      </c>
      <c r="D43" s="2" t="n">
        <v>5.44868011585637</v>
      </c>
      <c r="E43" s="2" t="n">
        <v>0</v>
      </c>
      <c r="F43" s="2" t="n">
        <v>6.14027456127854</v>
      </c>
      <c r="G43" s="2" t="n">
        <v>0</v>
      </c>
      <c r="H43" s="1" t="n">
        <v>29.3</v>
      </c>
    </row>
    <row r="44" customFormat="false" ht="15.75" hidden="false" customHeight="true" outlineLevel="0" collapsed="false">
      <c r="A44" s="1" t="s">
        <v>50</v>
      </c>
      <c r="B44" s="2" t="n">
        <v>10.2275273846439</v>
      </c>
      <c r="C44" s="2" t="n">
        <v>0.693463512838099</v>
      </c>
      <c r="D44" s="2" t="n">
        <v>5.86692242313135</v>
      </c>
      <c r="E44" s="2" t="n">
        <v>0</v>
      </c>
      <c r="F44" s="2" t="n">
        <v>6.56038593596944</v>
      </c>
      <c r="G44" s="2" t="n">
        <v>0</v>
      </c>
      <c r="H44" s="1" t="n">
        <v>30.1</v>
      </c>
    </row>
    <row r="45" customFormat="false" ht="15.75" hidden="false" customHeight="true" outlineLevel="0" collapsed="false">
      <c r="A45" s="1" t="s">
        <v>51</v>
      </c>
      <c r="B45" s="2" t="n">
        <v>9.49862394625944</v>
      </c>
      <c r="C45" s="2" t="n">
        <v>0.728903438384499</v>
      </c>
      <c r="D45" s="2" t="n">
        <v>6.66468736312343</v>
      </c>
      <c r="E45" s="2" t="n">
        <v>0</v>
      </c>
      <c r="F45" s="2" t="n">
        <v>7.39359080150793</v>
      </c>
      <c r="G45" s="2" t="n">
        <v>0</v>
      </c>
      <c r="H45" s="1" t="n">
        <v>31.1</v>
      </c>
    </row>
    <row r="46" customFormat="false" ht="15.75" hidden="false" customHeight="true" outlineLevel="0" collapsed="false">
      <c r="A46" s="1" t="s">
        <v>52</v>
      </c>
      <c r="B46" s="2" t="n">
        <v>8.93378365653488</v>
      </c>
      <c r="C46" s="2" t="n">
        <v>0.564840289724566</v>
      </c>
      <c r="D46" s="2" t="n">
        <v>5.56585305638353</v>
      </c>
      <c r="E46" s="2" t="n">
        <v>0</v>
      </c>
      <c r="F46" s="2" t="n">
        <v>6.1306933461081</v>
      </c>
      <c r="G46" s="2" t="n">
        <v>0</v>
      </c>
      <c r="H46" s="1" t="n">
        <v>30.9</v>
      </c>
    </row>
    <row r="47" customFormat="false" ht="15.75" hidden="false" customHeight="true" outlineLevel="0" collapsed="false">
      <c r="A47" s="1" t="s">
        <v>53</v>
      </c>
      <c r="B47" s="2" t="n">
        <v>8.28607113543295</v>
      </c>
      <c r="C47" s="2" t="n">
        <v>0.647712521101932</v>
      </c>
      <c r="D47" s="2" t="n">
        <v>6.87869530475842</v>
      </c>
      <c r="E47" s="2" t="n">
        <v>0</v>
      </c>
      <c r="F47" s="2" t="n">
        <v>7.52640782586035</v>
      </c>
      <c r="G47" s="2" t="n">
        <v>0</v>
      </c>
      <c r="H47" s="1" t="n">
        <v>31.6</v>
      </c>
    </row>
    <row r="48" customFormat="false" ht="15.75" hidden="false" customHeight="true" outlineLevel="0" collapsed="false">
      <c r="A48" s="1" t="s">
        <v>54</v>
      </c>
      <c r="B48" s="2" t="n">
        <v>7.63559729602347</v>
      </c>
      <c r="C48" s="2" t="n">
        <v>0.650473839409481</v>
      </c>
      <c r="D48" s="2" t="n">
        <v>7.52500233221332</v>
      </c>
      <c r="E48" s="2" t="n">
        <v>0</v>
      </c>
      <c r="F48" s="2" t="n">
        <v>8.1754761716228</v>
      </c>
      <c r="G48" s="2" t="n">
        <v>0</v>
      </c>
      <c r="H48" s="1" t="n">
        <v>30.5</v>
      </c>
    </row>
    <row r="49" customFormat="false" ht="15.75" hidden="false" customHeight="true" outlineLevel="0" collapsed="false">
      <c r="A49" s="1" t="s">
        <v>55</v>
      </c>
      <c r="B49" s="2" t="n">
        <v>7.11352192720725</v>
      </c>
      <c r="C49" s="2" t="n">
        <v>0.522075368816216</v>
      </c>
      <c r="D49" s="2" t="n">
        <v>6.56029436464733</v>
      </c>
      <c r="E49" s="2" t="n">
        <v>0</v>
      </c>
      <c r="F49" s="2" t="n">
        <v>7.08236973346354</v>
      </c>
      <c r="G49" s="2" t="n">
        <v>0</v>
      </c>
      <c r="H49" s="1" t="n">
        <v>30.4</v>
      </c>
    </row>
    <row r="50" customFormat="false" ht="15.75" hidden="false" customHeight="true" outlineLevel="0" collapsed="false">
      <c r="A50" s="1" t="s">
        <v>56</v>
      </c>
      <c r="B50" s="2" t="n">
        <v>6.83264949023574</v>
      </c>
      <c r="C50" s="2" t="n">
        <v>0.922290436971507</v>
      </c>
      <c r="D50" s="2" t="n">
        <v>3.74762273438093</v>
      </c>
      <c r="E50" s="2" t="n">
        <v>0</v>
      </c>
      <c r="F50" s="2" t="n">
        <v>4.66991317135244</v>
      </c>
      <c r="G50" s="2" t="n">
        <v>0.641418</v>
      </c>
      <c r="H50" s="1" t="n">
        <v>28.2</v>
      </c>
    </row>
    <row r="51" customFormat="false" ht="15.75" hidden="false" customHeight="true" outlineLevel="0" collapsed="false">
      <c r="A51" s="1" t="s">
        <v>57</v>
      </c>
      <c r="B51" s="2" t="n">
        <v>6.52553443454491</v>
      </c>
      <c r="C51" s="2" t="n">
        <v>0.307115055690832</v>
      </c>
      <c r="D51" s="2" t="n">
        <v>4.29185117798492</v>
      </c>
      <c r="E51" s="2" t="n">
        <v>0</v>
      </c>
      <c r="F51" s="2" t="n">
        <v>4.59896623367575</v>
      </c>
      <c r="G51" s="2" t="n">
        <v>0</v>
      </c>
      <c r="H51" s="1" t="n">
        <v>28.7</v>
      </c>
    </row>
    <row r="52" customFormat="false" ht="15.75" hidden="false" customHeight="true" outlineLevel="0" collapsed="false">
      <c r="A52" s="1" t="s">
        <v>58</v>
      </c>
      <c r="B52" s="2" t="n">
        <v>6.52542170405759</v>
      </c>
      <c r="C52" s="2" t="n">
        <v>1.80011273048732</v>
      </c>
      <c r="D52" s="2" t="n">
        <v>0.00161481324398682</v>
      </c>
      <c r="E52" s="2" t="n">
        <v>0</v>
      </c>
      <c r="F52" s="2" t="n">
        <v>1.80172754373131</v>
      </c>
      <c r="G52" s="2" t="n">
        <v>1.8</v>
      </c>
      <c r="H52" s="1" t="n">
        <v>23.7</v>
      </c>
    </row>
    <row r="53" customFormat="false" ht="15.75" hidden="false" customHeight="true" outlineLevel="0" collapsed="false">
      <c r="A53" s="1" t="s">
        <v>59</v>
      </c>
      <c r="B53" s="2" t="n">
        <v>6.34495843221835</v>
      </c>
      <c r="C53" s="2" t="n">
        <v>0.956776271839241</v>
      </c>
      <c r="D53" s="2" t="n">
        <v>2.62403974972782</v>
      </c>
      <c r="E53" s="2" t="n">
        <v>0</v>
      </c>
      <c r="F53" s="2" t="n">
        <v>3.58081602156706</v>
      </c>
      <c r="G53" s="2" t="n">
        <v>0.776313</v>
      </c>
      <c r="H53" s="1" t="n">
        <v>26.3</v>
      </c>
    </row>
    <row r="54" customFormat="false" ht="15.75" hidden="false" customHeight="true" outlineLevel="0" collapsed="false">
      <c r="A54" s="1" t="s">
        <v>60</v>
      </c>
      <c r="B54" s="2" t="n">
        <v>12.9083832052735</v>
      </c>
      <c r="C54" s="2" t="n">
        <v>2.03657522694485</v>
      </c>
      <c r="D54" s="2" t="n">
        <v>0</v>
      </c>
      <c r="E54" s="2" t="n">
        <v>0</v>
      </c>
      <c r="F54" s="2" t="n">
        <v>2.03657522694485</v>
      </c>
      <c r="G54" s="2" t="n">
        <v>8.6</v>
      </c>
      <c r="H54" s="1" t="n">
        <v>25.3</v>
      </c>
    </row>
    <row r="55" customFormat="false" ht="15.75" hidden="false" customHeight="true" outlineLevel="0" collapsed="false">
      <c r="A55" s="1" t="s">
        <v>61</v>
      </c>
      <c r="B55" s="2" t="n">
        <v>12.4028231852198</v>
      </c>
      <c r="C55" s="2" t="n">
        <v>0.50556002005365</v>
      </c>
      <c r="D55" s="2" t="n">
        <v>3.4897238048766</v>
      </c>
      <c r="E55" s="2" t="n">
        <v>0</v>
      </c>
      <c r="F55" s="2" t="n">
        <v>3.99528382493025</v>
      </c>
      <c r="G55" s="2" t="n">
        <v>0</v>
      </c>
      <c r="H55" s="1" t="n">
        <v>27.2</v>
      </c>
    </row>
    <row r="56" customFormat="false" ht="15.75" hidden="false" customHeight="true" outlineLevel="0" collapsed="false">
      <c r="A56" s="1" t="s">
        <v>62</v>
      </c>
      <c r="B56" s="2" t="n">
        <v>11.6814190121033</v>
      </c>
      <c r="C56" s="2" t="n">
        <v>0.766668473116563</v>
      </c>
      <c r="D56" s="2" t="n">
        <v>5.27106204099899</v>
      </c>
      <c r="E56" s="2" t="n">
        <v>0</v>
      </c>
      <c r="F56" s="2" t="n">
        <v>6.03773051411556</v>
      </c>
      <c r="G56" s="2" t="n">
        <v>0.0452643</v>
      </c>
      <c r="H56" s="1" t="n">
        <v>28.9</v>
      </c>
    </row>
    <row r="57" customFormat="false" ht="15.75" hidden="false" customHeight="true" outlineLevel="0" collapsed="false">
      <c r="A57" s="1" t="s">
        <v>63</v>
      </c>
      <c r="B57" s="2" t="n">
        <v>11.4335304560387</v>
      </c>
      <c r="C57" s="2" t="n">
        <v>3.05393855606461</v>
      </c>
      <c r="D57" s="2" t="n">
        <v>1.89702688141934</v>
      </c>
      <c r="E57" s="2" t="n">
        <v>0</v>
      </c>
      <c r="F57" s="2" t="n">
        <v>4.95096543748395</v>
      </c>
      <c r="G57" s="2" t="n">
        <v>2.80605</v>
      </c>
      <c r="H57" s="1" t="n">
        <v>28.3</v>
      </c>
    </row>
    <row r="58" customFormat="false" ht="15.75" hidden="false" customHeight="true" outlineLevel="0" collapsed="false">
      <c r="A58" s="1" t="s">
        <v>64</v>
      </c>
      <c r="B58" s="2" t="n">
        <v>10.8591229482165</v>
      </c>
      <c r="C58" s="2" t="n">
        <v>0.574407507822155</v>
      </c>
      <c r="D58" s="2" t="n">
        <v>4.58006799180772</v>
      </c>
      <c r="E58" s="2" t="n">
        <v>0</v>
      </c>
      <c r="F58" s="2" t="n">
        <v>5.15447549962987</v>
      </c>
      <c r="G58" s="2" t="n">
        <v>0</v>
      </c>
      <c r="H58" s="1" t="n">
        <v>28.1</v>
      </c>
    </row>
    <row r="59" customFormat="false" ht="15.75" hidden="false" customHeight="true" outlineLevel="0" collapsed="false">
      <c r="A59" s="1" t="s">
        <v>65</v>
      </c>
      <c r="B59" s="2" t="n">
        <v>14.4847753424342</v>
      </c>
      <c r="C59" s="2" t="n">
        <v>4.45276760578232</v>
      </c>
      <c r="D59" s="2" t="n">
        <v>0</v>
      </c>
      <c r="E59" s="2" t="n">
        <v>0</v>
      </c>
      <c r="F59" s="2" t="n">
        <v>4.45276760578232</v>
      </c>
      <c r="G59" s="2" t="n">
        <v>8.07842</v>
      </c>
      <c r="H59" s="1" t="n">
        <v>27.5</v>
      </c>
    </row>
    <row r="60" customFormat="false" ht="15.75" hidden="false" customHeight="true" outlineLevel="0" collapsed="false">
      <c r="A60" s="1" t="s">
        <v>66</v>
      </c>
      <c r="B60" s="2" t="n">
        <v>13.7285271390271</v>
      </c>
      <c r="C60" s="2" t="n">
        <v>0.756248203407054</v>
      </c>
      <c r="D60" s="2" t="n">
        <v>4.60596985669554</v>
      </c>
      <c r="E60" s="2" t="n">
        <v>0</v>
      </c>
      <c r="F60" s="2" t="n">
        <v>5.36221806010259</v>
      </c>
      <c r="G60" s="2" t="n">
        <v>0</v>
      </c>
      <c r="H60" s="1" t="n">
        <v>28.4</v>
      </c>
    </row>
    <row r="61" customFormat="false" ht="15.75" hidden="false" customHeight="true" outlineLevel="0" collapsed="false">
      <c r="A61" s="1" t="s">
        <v>67</v>
      </c>
      <c r="B61" s="2" t="n">
        <v>13.120446948441</v>
      </c>
      <c r="C61" s="2" t="n">
        <v>0.608080190586138</v>
      </c>
      <c r="D61" s="2" t="n">
        <v>3.92232897965831</v>
      </c>
      <c r="E61" s="2" t="n">
        <v>0</v>
      </c>
      <c r="F61" s="2" t="n">
        <v>4.53040917024445</v>
      </c>
      <c r="G61" s="2" t="n">
        <v>0</v>
      </c>
      <c r="H61" s="1" t="n">
        <v>27.4</v>
      </c>
    </row>
    <row r="62" customFormat="false" ht="15.75" hidden="false" customHeight="true" outlineLevel="0" collapsed="false">
      <c r="A62" s="1" t="s">
        <v>68</v>
      </c>
      <c r="B62" s="2" t="n">
        <v>12.5432309101387</v>
      </c>
      <c r="C62" s="2" t="n">
        <v>0.577216038302328</v>
      </c>
      <c r="D62" s="2" t="n">
        <v>3.92185383892704</v>
      </c>
      <c r="E62" s="2" t="n">
        <v>0</v>
      </c>
      <c r="F62" s="2" t="n">
        <v>4.49906987722937</v>
      </c>
      <c r="G62" s="2" t="n">
        <v>0</v>
      </c>
      <c r="H62" s="1" t="n">
        <v>26</v>
      </c>
    </row>
    <row r="63" customFormat="false" ht="15.75" hidden="false" customHeight="true" outlineLevel="0" collapsed="false">
      <c r="A63" s="1" t="s">
        <v>69</v>
      </c>
      <c r="B63" s="2" t="n">
        <v>14.9731874013883</v>
      </c>
      <c r="C63" s="2" t="n">
        <v>2.9291135087504</v>
      </c>
      <c r="D63" s="2" t="n">
        <v>0</v>
      </c>
      <c r="E63" s="2" t="n">
        <v>0</v>
      </c>
      <c r="F63" s="2" t="n">
        <v>2.9291135087504</v>
      </c>
      <c r="G63" s="2" t="n">
        <v>5.35907</v>
      </c>
      <c r="H63" s="1" t="n">
        <v>26.7</v>
      </c>
    </row>
    <row r="64" customFormat="false" ht="15.75" hidden="false" customHeight="true" outlineLevel="0" collapsed="false">
      <c r="A64" s="1" t="s">
        <v>70</v>
      </c>
      <c r="B64" s="2" t="n">
        <v>14.1949533847825</v>
      </c>
      <c r="C64" s="2" t="n">
        <v>0.778234016605751</v>
      </c>
      <c r="D64" s="2" t="n">
        <v>4.55922488643645</v>
      </c>
      <c r="E64" s="2" t="n">
        <v>0</v>
      </c>
      <c r="F64" s="2" t="n">
        <v>5.3374589030422</v>
      </c>
      <c r="G64" s="2" t="n">
        <v>0</v>
      </c>
      <c r="H64" s="1" t="n">
        <v>27.6</v>
      </c>
    </row>
    <row r="65" customFormat="false" ht="15.75" hidden="false" customHeight="true" outlineLevel="0" collapsed="false">
      <c r="A65" s="1" t="s">
        <v>71</v>
      </c>
      <c r="B65" s="2" t="n">
        <v>15.2977924522947</v>
      </c>
      <c r="C65" s="2" t="n">
        <v>5.14131093248785</v>
      </c>
      <c r="D65" s="2" t="n">
        <v>0</v>
      </c>
      <c r="E65" s="2" t="n">
        <v>0</v>
      </c>
      <c r="F65" s="2" t="n">
        <v>5.14131093248785</v>
      </c>
      <c r="G65" s="2" t="n">
        <v>6.24415</v>
      </c>
      <c r="H65" s="1" t="n">
        <v>27.3</v>
      </c>
    </row>
    <row r="66" customFormat="false" ht="15.75" hidden="false" customHeight="true" outlineLevel="0" collapsed="false">
      <c r="A66" s="1" t="s">
        <v>72</v>
      </c>
      <c r="B66" s="2" t="n">
        <v>15.8088591914617</v>
      </c>
      <c r="C66" s="2" t="n">
        <v>3.53851326083298</v>
      </c>
      <c r="D66" s="2" t="n">
        <v>0</v>
      </c>
      <c r="E66" s="2" t="n">
        <v>0</v>
      </c>
      <c r="F66" s="2" t="n">
        <v>3.53851326083298</v>
      </c>
      <c r="G66" s="2" t="n">
        <v>4.04958</v>
      </c>
      <c r="H66" s="1" t="n">
        <v>26.4</v>
      </c>
    </row>
    <row r="67" customFormat="false" ht="15.75" hidden="false" customHeight="true" outlineLevel="0" collapsed="false">
      <c r="A67" s="1" t="s">
        <v>73</v>
      </c>
      <c r="B67" s="2" t="n">
        <v>15.6839333179952</v>
      </c>
      <c r="C67" s="2" t="n">
        <v>3.00938587346643</v>
      </c>
      <c r="D67" s="2" t="n">
        <v>0.668439965367944</v>
      </c>
      <c r="E67" s="2" t="n">
        <v>0</v>
      </c>
      <c r="F67" s="2" t="n">
        <v>3.67782583883437</v>
      </c>
      <c r="G67" s="2" t="n">
        <v>2.88446</v>
      </c>
      <c r="H67" s="1" t="n">
        <v>25.4</v>
      </c>
    </row>
    <row r="68" customFormat="false" ht="15.75" hidden="false" customHeight="true" outlineLevel="0" collapsed="false">
      <c r="A68" s="1" t="s">
        <v>74</v>
      </c>
      <c r="B68" s="2" t="n">
        <v>26.0913802972272</v>
      </c>
      <c r="C68" s="2" t="n">
        <v>3.99255302076808</v>
      </c>
      <c r="D68" s="2" t="n">
        <v>0</v>
      </c>
      <c r="E68" s="2" t="n">
        <v>0</v>
      </c>
      <c r="F68" s="2" t="n">
        <v>3.99255302076808</v>
      </c>
      <c r="G68" s="2" t="n">
        <v>14.4</v>
      </c>
      <c r="H68" s="1" t="n">
        <v>25.7</v>
      </c>
    </row>
    <row r="69" customFormat="false" ht="15.75" hidden="false" customHeight="true" outlineLevel="0" collapsed="false">
      <c r="A69" s="1" t="s">
        <v>75</v>
      </c>
      <c r="B69" s="2" t="n">
        <v>24.6965561068555</v>
      </c>
      <c r="C69" s="2" t="n">
        <v>1.39482419037171</v>
      </c>
      <c r="D69" s="2" t="n">
        <v>4.0992956026346</v>
      </c>
      <c r="E69" s="2" t="n">
        <v>0</v>
      </c>
      <c r="F69" s="2" t="n">
        <v>5.49411979300631</v>
      </c>
      <c r="G69" s="2" t="n">
        <v>0</v>
      </c>
      <c r="H69" s="1" t="n">
        <v>27.7</v>
      </c>
    </row>
    <row r="70" customFormat="false" ht="15.75" hidden="false" customHeight="true" outlineLevel="0" collapsed="false">
      <c r="A70" s="1" t="s">
        <v>76</v>
      </c>
      <c r="B70" s="2" t="n">
        <v>23.5123115143815</v>
      </c>
      <c r="C70" s="2" t="n">
        <v>1.18424459247396</v>
      </c>
      <c r="D70" s="2" t="n">
        <v>3.72971809213918</v>
      </c>
      <c r="E70" s="2" t="n">
        <v>0</v>
      </c>
      <c r="F70" s="2" t="n">
        <v>4.91396268461314</v>
      </c>
      <c r="G70" s="2" t="n">
        <v>0</v>
      </c>
      <c r="H70" s="1" t="n">
        <v>28.8</v>
      </c>
    </row>
    <row r="71" customFormat="false" ht="15.75" hidden="false" customHeight="true" outlineLevel="0" collapsed="false">
      <c r="A71" s="1" t="s">
        <v>77</v>
      </c>
      <c r="B71" s="2" t="n">
        <v>22.0952436648798</v>
      </c>
      <c r="C71" s="2" t="n">
        <v>1.41706784950171</v>
      </c>
      <c r="D71" s="2" t="n">
        <v>4.79911331223244</v>
      </c>
      <c r="E71" s="2" t="n">
        <v>0</v>
      </c>
      <c r="F71" s="2" t="n">
        <v>6.21618116173414</v>
      </c>
      <c r="G71" s="2" t="n">
        <v>0</v>
      </c>
      <c r="H71" s="1" t="n">
        <v>27.4</v>
      </c>
    </row>
    <row r="72" customFormat="false" ht="15.75" hidden="false" customHeight="true" outlineLevel="0" collapsed="false">
      <c r="A72" s="1" t="s">
        <v>78</v>
      </c>
      <c r="B72" s="2" t="n">
        <v>37.4502335101577</v>
      </c>
      <c r="C72" s="2" t="n">
        <v>4.84501015472206</v>
      </c>
      <c r="D72" s="2" t="n">
        <v>0</v>
      </c>
      <c r="E72" s="2" t="n">
        <v>0</v>
      </c>
      <c r="F72" s="2" t="n">
        <v>4.84501015472206</v>
      </c>
      <c r="G72" s="2" t="n">
        <v>20.2</v>
      </c>
      <c r="H72" s="1" t="n">
        <v>28.1</v>
      </c>
    </row>
    <row r="73" customFormat="false" ht="15.75" hidden="false" customHeight="true" outlineLevel="0" collapsed="false">
      <c r="A73" s="1" t="s">
        <v>79</v>
      </c>
      <c r="B73" s="2" t="n">
        <v>35.5365034719232</v>
      </c>
      <c r="C73" s="2" t="n">
        <v>1.91373003823455</v>
      </c>
      <c r="D73" s="2" t="n">
        <v>3.33152098207378</v>
      </c>
      <c r="E73" s="2" t="n">
        <v>0</v>
      </c>
      <c r="F73" s="2" t="n">
        <v>5.24525102030833</v>
      </c>
      <c r="G73" s="2" t="n">
        <v>0</v>
      </c>
      <c r="H73" s="1" t="n">
        <v>28</v>
      </c>
    </row>
    <row r="74" customFormat="false" ht="15.75" hidden="false" customHeight="true" outlineLevel="0" collapsed="false">
      <c r="A74" s="1" t="s">
        <v>80</v>
      </c>
      <c r="B74" s="2" t="n">
        <v>35.2027545948004</v>
      </c>
      <c r="C74" s="2" t="n">
        <v>1.96861887712276</v>
      </c>
      <c r="D74" s="2" t="n">
        <v>0.609861114433672</v>
      </c>
      <c r="E74" s="2" t="n">
        <v>0</v>
      </c>
      <c r="F74" s="2" t="n">
        <v>2.57847999155643</v>
      </c>
      <c r="G74" s="2" t="n">
        <v>1.63487</v>
      </c>
      <c r="H74" s="1" t="n">
        <v>26</v>
      </c>
    </row>
    <row r="75" customFormat="false" ht="15.75" hidden="false" customHeight="true" outlineLevel="0" collapsed="false">
      <c r="A75" s="1" t="s">
        <v>81</v>
      </c>
      <c r="B75" s="2" t="n">
        <v>33.3616836590179</v>
      </c>
      <c r="C75" s="2" t="n">
        <v>1.84107093578252</v>
      </c>
      <c r="D75" s="2" t="n">
        <v>3.53055801064946</v>
      </c>
      <c r="E75" s="2" t="n">
        <v>0</v>
      </c>
      <c r="F75" s="2" t="n">
        <v>5.37162894643198</v>
      </c>
      <c r="G75" s="2" t="n">
        <v>0</v>
      </c>
      <c r="H75" s="1" t="n">
        <v>28.4</v>
      </c>
    </row>
    <row r="76" customFormat="false" ht="15.75" hidden="false" customHeight="true" outlineLevel="0" collapsed="false">
      <c r="A76" s="1" t="s">
        <v>82</v>
      </c>
      <c r="B76" s="2" t="n">
        <v>31.6215685625785</v>
      </c>
      <c r="C76" s="2" t="n">
        <v>2.94011509643945</v>
      </c>
      <c r="D76" s="2" t="n">
        <v>3.61674574370191</v>
      </c>
      <c r="E76" s="2" t="n">
        <v>0</v>
      </c>
      <c r="F76" s="2" t="n">
        <v>6.55686084014136</v>
      </c>
      <c r="G76" s="2" t="n">
        <v>1.2</v>
      </c>
      <c r="H76" s="1" t="n">
        <v>28.8</v>
      </c>
    </row>
    <row r="77" customFormat="false" ht="15.75" hidden="false" customHeight="true" outlineLevel="0" collapsed="false">
      <c r="A77" s="1" t="s">
        <v>83</v>
      </c>
      <c r="B77" s="2" t="n">
        <v>29.9707794819231</v>
      </c>
      <c r="C77" s="2" t="n">
        <v>1.65078908065534</v>
      </c>
      <c r="D77" s="2" t="n">
        <v>3.71086566742025</v>
      </c>
      <c r="E77" s="2" t="n">
        <v>0</v>
      </c>
      <c r="F77" s="2" t="n">
        <v>5.36165474807559</v>
      </c>
      <c r="G77" s="2" t="n">
        <v>0</v>
      </c>
      <c r="H77" s="1" t="n">
        <v>28.4</v>
      </c>
    </row>
    <row r="78" customFormat="false" ht="15.75" hidden="false" customHeight="true" outlineLevel="0" collapsed="false">
      <c r="A78" s="1" t="s">
        <v>84</v>
      </c>
      <c r="B78" s="2" t="n">
        <v>27.9500119768623</v>
      </c>
      <c r="C78" s="2" t="n">
        <v>2.02076750506084</v>
      </c>
      <c r="D78" s="2" t="n">
        <v>4.95975865679573</v>
      </c>
      <c r="E78" s="2" t="n">
        <v>0</v>
      </c>
      <c r="F78" s="2" t="n">
        <v>6.98052616185657</v>
      </c>
      <c r="G78" s="2" t="n">
        <v>0</v>
      </c>
      <c r="H78" s="1" t="n">
        <v>28.9</v>
      </c>
    </row>
    <row r="79" customFormat="false" ht="15.75" hidden="false" customHeight="true" outlineLevel="0" collapsed="false">
      <c r="A79" s="1" t="s">
        <v>85</v>
      </c>
      <c r="B79" s="2" t="n">
        <v>26.0943162437983</v>
      </c>
      <c r="C79" s="2" t="n">
        <v>1.85569573306395</v>
      </c>
      <c r="D79" s="2" t="n">
        <v>5.01431486038422</v>
      </c>
      <c r="E79" s="2" t="n">
        <v>0</v>
      </c>
      <c r="F79" s="2" t="n">
        <v>6.87001059344817</v>
      </c>
      <c r="G79" s="2" t="n">
        <v>0</v>
      </c>
      <c r="H79" s="1" t="n">
        <v>29</v>
      </c>
    </row>
    <row r="80" customFormat="false" ht="15.75" hidden="false" customHeight="true" outlineLevel="0" collapsed="false">
      <c r="A80" s="1" t="s">
        <v>86</v>
      </c>
      <c r="B80" s="2" t="n">
        <v>24.5644911264313</v>
      </c>
      <c r="C80" s="2" t="n">
        <v>1.52982511736706</v>
      </c>
      <c r="D80" s="2" t="n">
        <v>4.51173209876421</v>
      </c>
      <c r="E80" s="2" t="n">
        <v>0</v>
      </c>
      <c r="F80" s="2" t="n">
        <v>6.04155721613127</v>
      </c>
      <c r="G80" s="2" t="n">
        <v>0</v>
      </c>
      <c r="H80" s="1" t="n">
        <v>29.2</v>
      </c>
    </row>
    <row r="81" customFormat="false" ht="15.75" hidden="false" customHeight="true" outlineLevel="0" collapsed="false">
      <c r="A81" s="1" t="s">
        <v>87</v>
      </c>
      <c r="B81" s="2" t="n">
        <v>23.5313051898176</v>
      </c>
      <c r="C81" s="2" t="n">
        <v>1.39660693661371</v>
      </c>
      <c r="D81" s="2" t="n">
        <v>3.26384202679335</v>
      </c>
      <c r="E81" s="2" t="n">
        <v>0</v>
      </c>
      <c r="F81" s="2" t="n">
        <v>4.66044896340706</v>
      </c>
      <c r="G81" s="2" t="n">
        <v>0.363421</v>
      </c>
      <c r="H81" s="1" t="n">
        <v>28.2</v>
      </c>
    </row>
    <row r="82" customFormat="false" ht="15.75" hidden="false" customHeight="true" outlineLevel="0" collapsed="false">
      <c r="A82" s="1" t="s">
        <v>88</v>
      </c>
      <c r="B82" s="2" t="n">
        <v>23.1786984584657</v>
      </c>
      <c r="C82" s="2" t="n">
        <v>1.95260673135189</v>
      </c>
      <c r="D82" s="2" t="n">
        <v>1.15719160655391</v>
      </c>
      <c r="E82" s="2" t="n">
        <v>0</v>
      </c>
      <c r="F82" s="2" t="n">
        <v>3.1097983379058</v>
      </c>
      <c r="G82" s="2" t="n">
        <v>1.6</v>
      </c>
      <c r="H82" s="1" t="n">
        <v>25.6</v>
      </c>
    </row>
    <row r="83" customFormat="false" ht="15.75" hidden="false" customHeight="true" outlineLevel="0" collapsed="false">
      <c r="A83" s="1" t="s">
        <v>89</v>
      </c>
      <c r="B83" s="2" t="n">
        <v>29.9804214063073</v>
      </c>
      <c r="C83" s="2" t="n">
        <v>2.59827705215841</v>
      </c>
      <c r="D83" s="2" t="n">
        <v>0</v>
      </c>
      <c r="E83" s="2" t="n">
        <v>0</v>
      </c>
      <c r="F83" s="2" t="n">
        <v>2.59827705215841</v>
      </c>
      <c r="G83" s="2" t="n">
        <v>9.4</v>
      </c>
      <c r="H83" s="1" t="n">
        <v>24.5</v>
      </c>
    </row>
    <row r="84" customFormat="false" ht="15.75" hidden="false" customHeight="true" outlineLevel="0" collapsed="false">
      <c r="A84" s="1" t="s">
        <v>90</v>
      </c>
      <c r="B84" s="2" t="n">
        <v>32.2863774287348</v>
      </c>
      <c r="C84" s="2" t="n">
        <v>1.79916397757248</v>
      </c>
      <c r="D84" s="2" t="n">
        <v>0</v>
      </c>
      <c r="E84" s="2" t="n">
        <v>0</v>
      </c>
      <c r="F84" s="2" t="n">
        <v>1.79916397757248</v>
      </c>
      <c r="G84" s="2" t="n">
        <v>4.10512</v>
      </c>
      <c r="H84" s="1" t="n">
        <v>24.5</v>
      </c>
    </row>
    <row r="85" customFormat="false" ht="15.75" hidden="false" customHeight="true" outlineLevel="0" collapsed="false">
      <c r="A85" s="1" t="s">
        <v>91</v>
      </c>
      <c r="B85" s="2" t="n">
        <v>37.6665938713848</v>
      </c>
      <c r="C85" s="2" t="n">
        <v>2.20341355734998</v>
      </c>
      <c r="D85" s="2" t="n">
        <v>0</v>
      </c>
      <c r="E85" s="2" t="n">
        <v>0</v>
      </c>
      <c r="F85" s="2" t="n">
        <v>2.20341355734998</v>
      </c>
      <c r="G85" s="2" t="n">
        <v>7.58363</v>
      </c>
      <c r="H85" s="1" t="n">
        <v>24.8</v>
      </c>
    </row>
    <row r="86" customFormat="false" ht="15.75" hidden="false" customHeight="true" outlineLevel="0" collapsed="false">
      <c r="A86" s="1" t="s">
        <v>92</v>
      </c>
      <c r="B86" s="2" t="n">
        <v>71.5258043663317</v>
      </c>
      <c r="C86" s="2" t="n">
        <v>1.96508950505312</v>
      </c>
      <c r="D86" s="2" t="n">
        <v>0</v>
      </c>
      <c r="E86" s="2" t="n">
        <v>0</v>
      </c>
      <c r="F86" s="2" t="n">
        <v>1.96508950505312</v>
      </c>
      <c r="G86" s="2" t="n">
        <v>35.8243</v>
      </c>
      <c r="H86" s="1" t="n">
        <v>24.3</v>
      </c>
    </row>
    <row r="87" customFormat="false" ht="15.75" hidden="false" customHeight="true" outlineLevel="0" collapsed="false">
      <c r="A87" s="1" t="s">
        <v>93</v>
      </c>
      <c r="B87" s="2" t="n">
        <v>75.2543671896145</v>
      </c>
      <c r="C87" s="2" t="n">
        <v>1.9855971767172</v>
      </c>
      <c r="D87" s="2" t="n">
        <v>0</v>
      </c>
      <c r="E87" s="2" t="n">
        <v>0</v>
      </c>
      <c r="F87" s="2" t="n">
        <v>1.9855971767172</v>
      </c>
      <c r="G87" s="2" t="n">
        <v>5.71416</v>
      </c>
      <c r="H87" s="1" t="n">
        <v>25.9</v>
      </c>
    </row>
    <row r="88" customFormat="false" ht="15.75" hidden="false" customHeight="true" outlineLevel="0" collapsed="false">
      <c r="A88" s="1" t="s">
        <v>94</v>
      </c>
      <c r="B88" s="2" t="n">
        <v>72.715926713504</v>
      </c>
      <c r="C88" s="2" t="n">
        <v>2.93844047611044</v>
      </c>
      <c r="D88" s="2" t="n">
        <v>0.892909791648521</v>
      </c>
      <c r="E88" s="2" t="n">
        <v>0</v>
      </c>
      <c r="F88" s="2" t="n">
        <v>3.83135026775896</v>
      </c>
      <c r="G88" s="2" t="n">
        <v>0.4</v>
      </c>
      <c r="H88" s="1" t="n">
        <v>26.7</v>
      </c>
    </row>
    <row r="89" customFormat="false" ht="15.75" hidden="false" customHeight="true" outlineLevel="0" collapsed="false">
      <c r="A89" s="1" t="s">
        <v>95</v>
      </c>
      <c r="B89" s="2" t="n">
        <v>71.0009030569894</v>
      </c>
      <c r="C89" s="2" t="n">
        <v>2.51502365651465</v>
      </c>
      <c r="D89" s="2" t="n">
        <v>0.671760237167066</v>
      </c>
      <c r="E89" s="2" t="n">
        <v>0</v>
      </c>
      <c r="F89" s="2" t="n">
        <v>3.18678389368171</v>
      </c>
      <c r="G89" s="2" t="n">
        <v>0.8</v>
      </c>
      <c r="H89" s="1" t="n">
        <v>27.5</v>
      </c>
    </row>
    <row r="90" customFormat="false" ht="15.75" hidden="false" customHeight="true" outlineLevel="0" collapsed="false">
      <c r="A90" s="1" t="s">
        <v>96</v>
      </c>
      <c r="B90" s="2" t="n">
        <v>68.5074712238896</v>
      </c>
      <c r="C90" s="2" t="n">
        <v>2.49343183309985</v>
      </c>
      <c r="D90" s="2" t="n">
        <v>1.08154694594724</v>
      </c>
      <c r="E90" s="2" t="n">
        <v>0</v>
      </c>
      <c r="F90" s="2" t="n">
        <v>3.57497877904709</v>
      </c>
      <c r="G90" s="2" t="n">
        <v>0</v>
      </c>
      <c r="H90" s="1" t="n">
        <v>27.5</v>
      </c>
    </row>
    <row r="91" customFormat="false" ht="15.75" hidden="false" customHeight="true" outlineLevel="0" collapsed="false">
      <c r="A91" s="1" t="s">
        <v>97</v>
      </c>
      <c r="B91" s="2" t="n">
        <v>65.8061246590061</v>
      </c>
      <c r="C91" s="2" t="n">
        <v>2.70134656488345</v>
      </c>
      <c r="D91" s="2" t="n">
        <v>1.32164287099405</v>
      </c>
      <c r="E91" s="2" t="n">
        <v>0</v>
      </c>
      <c r="F91" s="2" t="n">
        <v>4.0229894358775</v>
      </c>
      <c r="G91" s="2" t="n">
        <v>0</v>
      </c>
      <c r="H91" s="1" t="n">
        <v>26.9</v>
      </c>
    </row>
    <row r="92" customFormat="false" ht="15.75" hidden="false" customHeight="true" outlineLevel="0" collapsed="false">
      <c r="A92" s="1" t="s">
        <v>98</v>
      </c>
      <c r="B92" s="2" t="n">
        <v>63.6997619544127</v>
      </c>
      <c r="C92" s="2" t="n">
        <v>3.64288270459339</v>
      </c>
      <c r="D92" s="2" t="n">
        <v>1.14684612860323</v>
      </c>
      <c r="E92" s="2" t="n">
        <v>0</v>
      </c>
      <c r="F92" s="2" t="n">
        <v>4.78972883319662</v>
      </c>
      <c r="G92" s="2" t="n">
        <v>1.53652</v>
      </c>
      <c r="H92" s="1" t="n">
        <v>27.7</v>
      </c>
    </row>
    <row r="93" customFormat="false" ht="15.75" hidden="false" customHeight="true" outlineLevel="0" collapsed="false">
      <c r="A93" s="1" t="s">
        <v>99</v>
      </c>
      <c r="B93" s="2" t="n">
        <v>62.2619982680755</v>
      </c>
      <c r="C93" s="2" t="n">
        <v>2.43776368633719</v>
      </c>
      <c r="D93" s="2" t="n">
        <v>0.845192869389256</v>
      </c>
      <c r="E93" s="2" t="n">
        <v>0</v>
      </c>
      <c r="F93" s="2" t="n">
        <v>3.28295655572645</v>
      </c>
      <c r="G93" s="2" t="n">
        <v>1</v>
      </c>
      <c r="H93" s="1" t="n">
        <v>25.6</v>
      </c>
    </row>
    <row r="94" customFormat="false" ht="15.75" hidden="false" customHeight="true" outlineLevel="0" collapsed="false">
      <c r="A94" s="1" t="s">
        <v>100</v>
      </c>
      <c r="B94" s="2" t="n">
        <v>68.3349373795149</v>
      </c>
      <c r="C94" s="2" t="n">
        <v>1.78080088856063</v>
      </c>
      <c r="D94" s="2" t="n">
        <v>0</v>
      </c>
      <c r="E94" s="2" t="n">
        <v>0</v>
      </c>
      <c r="F94" s="2" t="n">
        <v>1.78080088856063</v>
      </c>
      <c r="G94" s="2" t="n">
        <v>7.85374</v>
      </c>
      <c r="H94" s="1" t="n">
        <v>24.4</v>
      </c>
    </row>
    <row r="95" customFormat="false" ht="15.75" hidden="false" customHeight="true" outlineLevel="0" collapsed="false">
      <c r="A95" s="1" t="s">
        <v>101</v>
      </c>
      <c r="B95" s="2" t="n">
        <v>100</v>
      </c>
      <c r="C95" s="2" t="n">
        <v>1.46338540916887</v>
      </c>
      <c r="D95" s="2" t="n">
        <v>0</v>
      </c>
      <c r="E95" s="2" t="n">
        <v>87.071551970346</v>
      </c>
      <c r="F95" s="2" t="n">
        <v>1.46338540916887</v>
      </c>
      <c r="G95" s="2" t="n">
        <v>120.2</v>
      </c>
      <c r="H95" s="1" t="n">
        <v>23.5</v>
      </c>
    </row>
    <row r="96" customFormat="false" ht="15.75" hidden="false" customHeight="true" outlineLevel="0" collapsed="false">
      <c r="A96" s="1" t="s">
        <v>102</v>
      </c>
      <c r="B96" s="2" t="n">
        <v>100</v>
      </c>
      <c r="C96" s="2" t="n">
        <v>1.19205173036713</v>
      </c>
      <c r="D96" s="2" t="n">
        <v>0</v>
      </c>
      <c r="E96" s="2" t="n">
        <v>23.7643482696329</v>
      </c>
      <c r="F96" s="2" t="n">
        <v>1.19205173036713</v>
      </c>
      <c r="G96" s="2" t="n">
        <v>24.9564</v>
      </c>
      <c r="H96" s="1" t="n">
        <v>23.2</v>
      </c>
    </row>
    <row r="97" customFormat="false" ht="15.75" hidden="false" customHeight="true" outlineLevel="0" collapsed="false">
      <c r="A97" s="1" t="s">
        <v>103</v>
      </c>
      <c r="B97" s="2" t="n">
        <v>100</v>
      </c>
      <c r="C97" s="2" t="n">
        <v>2.22148673060605</v>
      </c>
      <c r="D97" s="2" t="n">
        <v>0</v>
      </c>
      <c r="E97" s="2" t="n">
        <v>2.28758326939395</v>
      </c>
      <c r="F97" s="2" t="n">
        <v>2.22148673060605</v>
      </c>
      <c r="G97" s="2" t="n">
        <v>4.50907</v>
      </c>
      <c r="H97" s="1" t="n">
        <v>24.5</v>
      </c>
    </row>
    <row r="98" customFormat="false" ht="15.75" hidden="false" customHeight="true" outlineLevel="0" collapsed="false">
      <c r="A98" s="1" t="s">
        <v>104</v>
      </c>
      <c r="B98" s="2" t="n">
        <v>100</v>
      </c>
      <c r="C98" s="2" t="n">
        <v>1.69030452976348</v>
      </c>
      <c r="D98" s="2" t="n">
        <v>0</v>
      </c>
      <c r="E98" s="2" t="n">
        <v>0.109695470236522</v>
      </c>
      <c r="F98" s="2" t="n">
        <v>1.69030452976348</v>
      </c>
      <c r="G98" s="2" t="n">
        <v>1.8</v>
      </c>
      <c r="H98" s="1" t="n">
        <v>24</v>
      </c>
    </row>
    <row r="99" customFormat="false" ht="15.75" hidden="false" customHeight="true" outlineLevel="0" collapsed="false">
      <c r="A99" s="1" t="s">
        <v>105</v>
      </c>
      <c r="B99" s="2" t="n">
        <v>100</v>
      </c>
      <c r="C99" s="2" t="n">
        <v>2.91123478758482</v>
      </c>
      <c r="D99" s="2" t="n">
        <v>0</v>
      </c>
      <c r="E99" s="2" t="n">
        <v>17.4887652124152</v>
      </c>
      <c r="F99" s="2" t="n">
        <v>2.91123478758482</v>
      </c>
      <c r="G99" s="2" t="n">
        <v>20.4</v>
      </c>
      <c r="H99" s="1" t="n">
        <v>26</v>
      </c>
    </row>
    <row r="100" customFormat="false" ht="15.75" hidden="false" customHeight="true" outlineLevel="0" collapsed="false">
      <c r="A100" s="1" t="s">
        <v>106</v>
      </c>
      <c r="B100" s="2" t="n">
        <v>96.6349870124064</v>
      </c>
      <c r="C100" s="2" t="n">
        <v>3.36501298759356</v>
      </c>
      <c r="D100" s="2" t="n">
        <v>0.0579196073176997</v>
      </c>
      <c r="E100" s="2" t="n">
        <v>0</v>
      </c>
      <c r="F100" s="2" t="n">
        <v>3.42293259491126</v>
      </c>
      <c r="G100" s="2" t="n">
        <v>0</v>
      </c>
      <c r="H100" s="1" t="n">
        <v>26.3</v>
      </c>
    </row>
    <row r="101" customFormat="false" ht="15.75" hidden="false" customHeight="true" outlineLevel="0" collapsed="false">
      <c r="A101" s="1" t="s">
        <v>107</v>
      </c>
      <c r="B101" s="2" t="n">
        <v>98.1842785806549</v>
      </c>
      <c r="C101" s="2" t="n">
        <v>1.45070843175154</v>
      </c>
      <c r="D101" s="2" t="n">
        <v>0</v>
      </c>
      <c r="E101" s="2" t="n">
        <v>0</v>
      </c>
      <c r="F101" s="2" t="n">
        <v>1.45070843175154</v>
      </c>
      <c r="G101" s="2" t="n">
        <v>3</v>
      </c>
      <c r="H101" s="1" t="n">
        <v>23</v>
      </c>
    </row>
    <row r="102" customFormat="false" ht="15.75" hidden="false" customHeight="true" outlineLevel="0" collapsed="false">
      <c r="A102" s="1" t="s">
        <v>108</v>
      </c>
      <c r="B102" s="2" t="n">
        <v>100</v>
      </c>
      <c r="C102" s="2" t="n">
        <v>1.46239428079513</v>
      </c>
      <c r="D102" s="2" t="n">
        <v>0</v>
      </c>
      <c r="E102" s="2" t="n">
        <v>21.3218842998598</v>
      </c>
      <c r="F102" s="2" t="n">
        <v>1.46239428079513</v>
      </c>
      <c r="G102" s="2" t="n">
        <v>24.6</v>
      </c>
      <c r="H102" s="1" t="n">
        <v>23.3</v>
      </c>
    </row>
    <row r="103" customFormat="false" ht="15.75" hidden="false" customHeight="true" outlineLevel="0" collapsed="false">
      <c r="A103" s="1" t="s">
        <v>109</v>
      </c>
      <c r="B103" s="2" t="n">
        <v>100</v>
      </c>
      <c r="C103" s="2" t="n">
        <v>2.1351171621999</v>
      </c>
      <c r="D103" s="2" t="n">
        <v>0</v>
      </c>
      <c r="E103" s="2" t="n">
        <v>8.4648828378001</v>
      </c>
      <c r="F103" s="2" t="n">
        <v>2.1351171621999</v>
      </c>
      <c r="G103" s="2" t="n">
        <v>10.6</v>
      </c>
      <c r="H103" s="1" t="n">
        <v>24.7</v>
      </c>
    </row>
    <row r="104" customFormat="false" ht="15.75" hidden="false" customHeight="true" outlineLevel="0" collapsed="false">
      <c r="A104" s="1" t="s">
        <v>110</v>
      </c>
      <c r="B104" s="2" t="n">
        <v>100</v>
      </c>
      <c r="C104" s="2" t="n">
        <v>3.51566940712245</v>
      </c>
      <c r="D104" s="2" t="n">
        <v>0</v>
      </c>
      <c r="E104" s="2" t="n">
        <v>1.28433059287755</v>
      </c>
      <c r="F104" s="2" t="n">
        <v>3.51566940712245</v>
      </c>
      <c r="G104" s="2" t="n">
        <v>4.8</v>
      </c>
      <c r="H104" s="1" t="n">
        <v>25.9</v>
      </c>
    </row>
    <row r="105" customFormat="false" ht="15.75" hidden="false" customHeight="true" outlineLevel="0" collapsed="false">
      <c r="A105" s="1" t="s">
        <v>111</v>
      </c>
      <c r="B105" s="2" t="n">
        <v>100</v>
      </c>
      <c r="C105" s="2" t="n">
        <v>3.07226115776284</v>
      </c>
      <c r="D105" s="2" t="n">
        <v>0</v>
      </c>
      <c r="E105" s="2" t="n">
        <v>2.38140884223716</v>
      </c>
      <c r="F105" s="2" t="n">
        <v>3.07226115776284</v>
      </c>
      <c r="G105" s="2" t="n">
        <v>5.45367</v>
      </c>
      <c r="H105" s="1" t="n">
        <v>27.3</v>
      </c>
    </row>
    <row r="106" customFormat="false" ht="15.75" hidden="false" customHeight="true" outlineLevel="0" collapsed="false">
      <c r="A106" s="1" t="s">
        <v>112</v>
      </c>
      <c r="B106" s="2" t="n">
        <v>100</v>
      </c>
      <c r="C106" s="2" t="n">
        <v>2.02430382083099</v>
      </c>
      <c r="D106" s="2" t="n">
        <v>0</v>
      </c>
      <c r="E106" s="2" t="n">
        <v>12.553896179169</v>
      </c>
      <c r="F106" s="2" t="n">
        <v>2.02430382083099</v>
      </c>
      <c r="G106" s="2" t="n">
        <v>14.5782</v>
      </c>
      <c r="H106" s="1" t="n">
        <v>24.7</v>
      </c>
    </row>
    <row r="107" customFormat="false" ht="15.75" hidden="false" customHeight="true" outlineLevel="0" collapsed="false">
      <c r="A107" s="1" t="s">
        <v>113</v>
      </c>
      <c r="B107" s="2" t="n">
        <v>97.6502786107601</v>
      </c>
      <c r="C107" s="2" t="n">
        <v>3.35624138923992</v>
      </c>
      <c r="D107" s="2" t="n">
        <v>0.0280461620289114</v>
      </c>
      <c r="E107" s="2" t="n">
        <v>0</v>
      </c>
      <c r="F107" s="2" t="n">
        <v>3.38428755126883</v>
      </c>
      <c r="G107" s="2" t="n">
        <v>1.00652</v>
      </c>
      <c r="H107" s="1" t="n">
        <v>25.9</v>
      </c>
    </row>
    <row r="108" customFormat="false" ht="15.75" hidden="false" customHeight="true" outlineLevel="0" collapsed="false">
      <c r="A108" s="1" t="s">
        <v>114</v>
      </c>
      <c r="B108" s="2" t="n">
        <v>100</v>
      </c>
      <c r="C108" s="2" t="n">
        <v>2.13410851054411</v>
      </c>
      <c r="D108" s="2" t="n">
        <v>0</v>
      </c>
      <c r="E108" s="2" t="n">
        <v>13.916170100216</v>
      </c>
      <c r="F108" s="2" t="n">
        <v>2.13410851054411</v>
      </c>
      <c r="G108" s="2" t="n">
        <v>18.4</v>
      </c>
      <c r="H108" s="1" t="n">
        <v>23.6</v>
      </c>
    </row>
    <row r="109" customFormat="false" ht="15.75" hidden="false" customHeight="true" outlineLevel="0" collapsed="false">
      <c r="A109" s="1" t="s">
        <v>115</v>
      </c>
      <c r="B109" s="2" t="n">
        <v>100</v>
      </c>
      <c r="C109" s="2" t="n">
        <v>2.6574596041982</v>
      </c>
      <c r="D109" s="2" t="n">
        <v>0</v>
      </c>
      <c r="E109" s="2" t="n">
        <v>2.2118503958018</v>
      </c>
      <c r="F109" s="2" t="n">
        <v>2.6574596041982</v>
      </c>
      <c r="G109" s="2" t="n">
        <v>4.86931</v>
      </c>
      <c r="H109" s="1" t="n">
        <v>25.7</v>
      </c>
    </row>
    <row r="110" customFormat="false" ht="15.75" hidden="false" customHeight="true" outlineLevel="0" collapsed="false">
      <c r="A110" s="1" t="s">
        <v>116</v>
      </c>
      <c r="B110" s="2" t="n">
        <v>97.0392611386432</v>
      </c>
      <c r="C110" s="2" t="n">
        <v>2.96073886135683</v>
      </c>
      <c r="D110" s="2" t="n">
        <v>0.0447146755316155</v>
      </c>
      <c r="E110" s="2" t="n">
        <v>0</v>
      </c>
      <c r="F110" s="2" t="n">
        <v>3.00545353688845</v>
      </c>
      <c r="G110" s="2" t="n">
        <v>0</v>
      </c>
      <c r="H110" s="1" t="n">
        <v>27.3</v>
      </c>
    </row>
    <row r="111" customFormat="false" ht="15.75" hidden="false" customHeight="true" outlineLevel="0" collapsed="false">
      <c r="A111" s="1" t="s">
        <v>117</v>
      </c>
      <c r="B111" s="2" t="n">
        <v>94.8314041884009</v>
      </c>
      <c r="C111" s="2" t="n">
        <v>3.8067369502423</v>
      </c>
      <c r="D111" s="2" t="n">
        <v>0.0936458902738462</v>
      </c>
      <c r="E111" s="2" t="n">
        <v>0</v>
      </c>
      <c r="F111" s="2" t="n">
        <v>3.90038284051615</v>
      </c>
      <c r="G111" s="2" t="n">
        <v>1.59888</v>
      </c>
      <c r="H111" s="1" t="n">
        <v>27.9</v>
      </c>
    </row>
    <row r="112" customFormat="false" ht="15.75" hidden="false" customHeight="true" outlineLevel="0" collapsed="false">
      <c r="A112" s="1" t="s">
        <v>118</v>
      </c>
      <c r="B112" s="2" t="n">
        <v>91.279756881401</v>
      </c>
      <c r="C112" s="2" t="n">
        <v>3.86235930699983</v>
      </c>
      <c r="D112" s="2" t="n">
        <v>0.265510703153639</v>
      </c>
      <c r="E112" s="2" t="n">
        <v>0</v>
      </c>
      <c r="F112" s="2" t="n">
        <v>4.12787001015346</v>
      </c>
      <c r="G112" s="2" t="n">
        <v>0.310712</v>
      </c>
      <c r="H112" s="1" t="n">
        <v>27.9</v>
      </c>
    </row>
    <row r="113" customFormat="false" ht="15.75" hidden="false" customHeight="true" outlineLevel="0" collapsed="false">
      <c r="A113" s="1" t="s">
        <v>119</v>
      </c>
      <c r="B113" s="2" t="n">
        <v>87.603864579634</v>
      </c>
      <c r="C113" s="2" t="n">
        <v>3.67589230176705</v>
      </c>
      <c r="D113" s="2" t="n">
        <v>0.434500591971822</v>
      </c>
      <c r="E113" s="2" t="n">
        <v>0</v>
      </c>
      <c r="F113" s="2" t="n">
        <v>4.11039289373887</v>
      </c>
      <c r="G113" s="2" t="n">
        <v>0</v>
      </c>
      <c r="H113" s="1" t="n">
        <v>28.1</v>
      </c>
    </row>
    <row r="114" customFormat="false" ht="15.75" hidden="false" customHeight="true" outlineLevel="0" collapsed="false">
      <c r="A114" s="1" t="s">
        <v>120</v>
      </c>
      <c r="B114" s="2" t="n">
        <v>83.599924039537</v>
      </c>
      <c r="C114" s="2" t="n">
        <v>4.06255304009701</v>
      </c>
      <c r="D114" s="2" t="n">
        <v>0.674309630188739</v>
      </c>
      <c r="E114" s="2" t="n">
        <v>0</v>
      </c>
      <c r="F114" s="2" t="n">
        <v>4.73686267028574</v>
      </c>
      <c r="G114" s="2" t="n">
        <v>0.0586125</v>
      </c>
      <c r="H114" s="1" t="n">
        <v>27.8</v>
      </c>
    </row>
    <row r="115" customFormat="false" ht="15.75" hidden="false" customHeight="true" outlineLevel="0" collapsed="false">
      <c r="A115" s="1" t="s">
        <v>121</v>
      </c>
      <c r="B115" s="2" t="n">
        <v>83.3540903252648</v>
      </c>
      <c r="C115" s="2" t="n">
        <v>2.64583371427215</v>
      </c>
      <c r="D115" s="2" t="n">
        <v>0.0486592248473272</v>
      </c>
      <c r="E115" s="2" t="n">
        <v>0</v>
      </c>
      <c r="F115" s="2" t="n">
        <v>2.69449293911948</v>
      </c>
      <c r="G115" s="2" t="n">
        <v>2.4</v>
      </c>
      <c r="H115" s="1" t="n">
        <v>25.5</v>
      </c>
    </row>
    <row r="116" customFormat="false" ht="15.75" hidden="false" customHeight="true" outlineLevel="0" collapsed="false">
      <c r="A116" s="1" t="s">
        <v>122</v>
      </c>
      <c r="B116" s="2" t="n">
        <v>83.8757584580503</v>
      </c>
      <c r="C116" s="2" t="n">
        <v>2.07833186721453</v>
      </c>
      <c r="D116" s="2" t="n">
        <v>0</v>
      </c>
      <c r="E116" s="2" t="n">
        <v>0</v>
      </c>
      <c r="F116" s="2" t="n">
        <v>2.07833186721453</v>
      </c>
      <c r="G116" s="2" t="n">
        <v>2.6</v>
      </c>
      <c r="H116" s="1" t="n">
        <v>25</v>
      </c>
    </row>
    <row r="117" customFormat="false" ht="15.75" hidden="false" customHeight="true" outlineLevel="0" collapsed="false">
      <c r="A117" s="1" t="s">
        <v>123</v>
      </c>
      <c r="B117" s="2" t="n">
        <v>82.9605521650313</v>
      </c>
      <c r="C117" s="2" t="n">
        <v>1.51520629301897</v>
      </c>
      <c r="D117" s="2" t="n">
        <v>0.181935534222676</v>
      </c>
      <c r="E117" s="2" t="n">
        <v>0</v>
      </c>
      <c r="F117" s="2" t="n">
        <v>1.69714182724164</v>
      </c>
      <c r="G117" s="2" t="n">
        <v>0.6</v>
      </c>
      <c r="H117" s="1" t="n">
        <v>24.7</v>
      </c>
    </row>
    <row r="118" customFormat="false" ht="15.75" hidden="false" customHeight="true" outlineLevel="0" collapsed="false">
      <c r="A118" s="1" t="s">
        <v>124</v>
      </c>
      <c r="B118" s="2" t="n">
        <v>99.6057118515974</v>
      </c>
      <c r="C118" s="2" t="n">
        <v>1.95484031343394</v>
      </c>
      <c r="D118" s="2" t="n">
        <v>0</v>
      </c>
      <c r="E118" s="2" t="n">
        <v>0</v>
      </c>
      <c r="F118" s="2" t="n">
        <v>1.95484031343394</v>
      </c>
      <c r="G118" s="2" t="n">
        <v>18.6</v>
      </c>
      <c r="H118" s="1" t="n">
        <v>25.6</v>
      </c>
    </row>
    <row r="119" customFormat="false" ht="15.75" hidden="false" customHeight="true" outlineLevel="0" collapsed="false">
      <c r="A119" s="1" t="s">
        <v>125</v>
      </c>
      <c r="B119" s="2" t="n">
        <v>99.5411680171871</v>
      </c>
      <c r="C119" s="2" t="n">
        <v>1.4921138344103</v>
      </c>
      <c r="D119" s="2" t="n">
        <v>0.000276499920587758</v>
      </c>
      <c r="E119" s="2" t="n">
        <v>0</v>
      </c>
      <c r="F119" s="2" t="n">
        <v>1.49239033433089</v>
      </c>
      <c r="G119" s="2" t="n">
        <v>1.42757</v>
      </c>
      <c r="H119" s="1" t="n">
        <v>23.5</v>
      </c>
    </row>
    <row r="120" customFormat="false" ht="15.75" hidden="false" customHeight="true" outlineLevel="0" collapsed="false">
      <c r="A120" s="1" t="s">
        <v>126</v>
      </c>
      <c r="B120" s="2" t="n">
        <v>100</v>
      </c>
      <c r="C120" s="2" t="n">
        <v>2.52381421793098</v>
      </c>
      <c r="D120" s="2" t="n">
        <v>0</v>
      </c>
      <c r="E120" s="2" t="n">
        <v>21.0173537992561</v>
      </c>
      <c r="F120" s="2" t="n">
        <v>2.52381421793098</v>
      </c>
      <c r="G120" s="2" t="n">
        <v>24</v>
      </c>
      <c r="H120" s="1" t="n">
        <v>25.1</v>
      </c>
    </row>
    <row r="121" customFormat="false" ht="15.75" hidden="false" customHeight="true" outlineLevel="0" collapsed="false">
      <c r="A121" s="1" t="s">
        <v>127</v>
      </c>
      <c r="B121" s="2" t="n">
        <v>100</v>
      </c>
      <c r="C121" s="2" t="n">
        <v>2.05637356512074</v>
      </c>
      <c r="D121" s="2" t="n">
        <v>0</v>
      </c>
      <c r="E121" s="2" t="n">
        <v>2.76844643487926</v>
      </c>
      <c r="F121" s="2" t="n">
        <v>2.05637356512074</v>
      </c>
      <c r="G121" s="2" t="n">
        <v>4.82482</v>
      </c>
      <c r="H121" s="1" t="n">
        <v>24.7</v>
      </c>
    </row>
    <row r="122" customFormat="false" ht="15.75" hidden="false" customHeight="true" outlineLevel="0" collapsed="false">
      <c r="A122" s="1" t="s">
        <v>128</v>
      </c>
      <c r="B122" s="2" t="n">
        <v>97.6848750544977</v>
      </c>
      <c r="C122" s="2" t="n">
        <v>2.31512494550226</v>
      </c>
      <c r="D122" s="2" t="n">
        <v>0.0272199555674226</v>
      </c>
      <c r="E122" s="2" t="n">
        <v>0</v>
      </c>
      <c r="F122" s="2" t="n">
        <v>2.34234490106968</v>
      </c>
      <c r="G122" s="2" t="n">
        <v>0</v>
      </c>
      <c r="H122" s="1" t="n">
        <v>26.4</v>
      </c>
    </row>
    <row r="123" customFormat="false" ht="15.75" hidden="false" customHeight="true" outlineLevel="0" collapsed="false">
      <c r="A123" s="1" t="s">
        <v>129</v>
      </c>
      <c r="B123" s="2" t="n">
        <v>94.7549656901914</v>
      </c>
      <c r="C123" s="2" t="n">
        <v>2.92990936430637</v>
      </c>
      <c r="D123" s="2" t="n">
        <v>0.115339240531353</v>
      </c>
      <c r="E123" s="2" t="n">
        <v>0</v>
      </c>
      <c r="F123" s="2" t="n">
        <v>3.04524860483772</v>
      </c>
      <c r="G123" s="2" t="n">
        <v>0</v>
      </c>
      <c r="H123" s="1" t="n">
        <v>26</v>
      </c>
    </row>
    <row r="124" customFormat="false" ht="15.75" hidden="false" customHeight="true" outlineLevel="0" collapsed="false">
      <c r="A124" s="1" t="s">
        <v>130</v>
      </c>
      <c r="B124" s="2" t="n">
        <v>100</v>
      </c>
      <c r="C124" s="2" t="n">
        <v>1.46217301344131</v>
      </c>
      <c r="D124" s="2" t="n">
        <v>0</v>
      </c>
      <c r="E124" s="2" t="n">
        <v>2.74880267675005</v>
      </c>
      <c r="F124" s="2" t="n">
        <v>1.46217301344131</v>
      </c>
      <c r="G124" s="2" t="n">
        <v>9.45601</v>
      </c>
      <c r="H124" s="1" t="n">
        <v>23.1</v>
      </c>
    </row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131</v>
      </c>
      <c r="B1" s="1"/>
    </row>
    <row r="2" customFormat="false" ht="12.75" hidden="false" customHeight="false" outlineLevel="0" collapsed="false">
      <c r="A2" s="1" t="s">
        <v>132</v>
      </c>
      <c r="B2" s="1" t="n">
        <v>0.21</v>
      </c>
    </row>
    <row r="3" customFormat="false" ht="12.75" hidden="false" customHeight="false" outlineLevel="0" collapsed="false">
      <c r="A3" s="1" t="s">
        <v>133</v>
      </c>
      <c r="B3" s="1" t="n">
        <v>0.12</v>
      </c>
    </row>
    <row r="4" customFormat="false" ht="12.75" hidden="false" customHeight="false" outlineLevel="0" collapsed="false">
      <c r="A4" s="1" t="s">
        <v>134</v>
      </c>
      <c r="B4" s="1" t="n">
        <v>1.2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21.88"/>
  </cols>
  <sheetData>
    <row r="1" customFormat="false" ht="12.75" hidden="false" customHeight="false" outlineLevel="0" collapsed="false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</row>
    <row r="2" customFormat="false" ht="12.75" hidden="false" customHeight="false" outlineLevel="0" collapsed="false">
      <c r="A2" s="1" t="s">
        <v>140</v>
      </c>
      <c r="B2" s="1" t="n">
        <v>15</v>
      </c>
      <c r="C2" s="2" t="n">
        <v>0.7</v>
      </c>
      <c r="D2" s="1" t="n">
        <v>0.2</v>
      </c>
      <c r="E2" s="1" t="n">
        <v>150</v>
      </c>
    </row>
    <row r="3" customFormat="false" ht="12.75" hidden="false" customHeight="false" outlineLevel="0" collapsed="false">
      <c r="A3" s="1" t="s">
        <v>141</v>
      </c>
      <c r="B3" s="1" t="n">
        <v>45</v>
      </c>
      <c r="C3" s="2" t="n">
        <v>0.85</v>
      </c>
      <c r="D3" s="1" t="n">
        <v>0.3</v>
      </c>
      <c r="E3" s="1" t="n">
        <v>250</v>
      </c>
    </row>
    <row r="4" customFormat="false" ht="12.75" hidden="false" customHeight="false" outlineLevel="0" collapsed="false">
      <c r="A4" s="1" t="s">
        <v>142</v>
      </c>
      <c r="B4" s="1" t="n">
        <v>40</v>
      </c>
      <c r="C4" s="2" t="n">
        <v>1</v>
      </c>
      <c r="D4" s="1" t="n">
        <v>0.4</v>
      </c>
      <c r="E4" s="1" t="n">
        <v>300</v>
      </c>
    </row>
    <row r="5" customFormat="false" ht="12.75" hidden="false" customHeight="false" outlineLevel="0" collapsed="false">
      <c r="A5" s="1" t="s">
        <v>143</v>
      </c>
      <c r="B5" s="1" t="n">
        <v>20</v>
      </c>
      <c r="C5" s="2" t="n">
        <v>0.65</v>
      </c>
      <c r="D5" s="1" t="n">
        <v>0.5</v>
      </c>
      <c r="E5" s="1" t="n">
        <v>350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sheetData>
    <row r="1" customFormat="false" ht="13.8" hidden="false" customHeight="false" outlineLevel="0" collapsed="false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</row>
    <row r="2" customFormat="false" ht="13.8" hidden="false" customHeight="false" outlineLevel="0" collapsed="false">
      <c r="A2" s="4" t="n">
        <v>45444</v>
      </c>
      <c r="B2" s="3" t="n">
        <v>0</v>
      </c>
      <c r="C2" s="3" t="n">
        <v>1.3</v>
      </c>
      <c r="D2" s="3" t="n">
        <v>48.5</v>
      </c>
      <c r="E2" s="3" t="n">
        <v>24.25</v>
      </c>
    </row>
    <row r="3" customFormat="false" ht="13.8" hidden="false" customHeight="false" outlineLevel="0" collapsed="false">
      <c r="A3" s="4" t="n">
        <v>45445</v>
      </c>
      <c r="B3" s="3" t="n">
        <v>0</v>
      </c>
      <c r="C3" s="3" t="n">
        <v>1.3</v>
      </c>
      <c r="D3" s="3" t="n">
        <v>49.1</v>
      </c>
      <c r="E3" s="3" t="n">
        <v>24.55</v>
      </c>
    </row>
    <row r="4" customFormat="false" ht="13.8" hidden="false" customHeight="false" outlineLevel="0" collapsed="false">
      <c r="A4" s="4" t="n">
        <v>45446</v>
      </c>
      <c r="B4" s="3" t="n">
        <v>0</v>
      </c>
      <c r="C4" s="3" t="n">
        <v>1.6</v>
      </c>
      <c r="D4" s="3" t="n">
        <v>49.6</v>
      </c>
      <c r="E4" s="3" t="n">
        <v>24.8</v>
      </c>
    </row>
    <row r="5" customFormat="false" ht="13.8" hidden="false" customHeight="false" outlineLevel="0" collapsed="false">
      <c r="A5" s="4" t="n">
        <v>45447</v>
      </c>
      <c r="B5" s="3" t="n">
        <v>0</v>
      </c>
      <c r="C5" s="3" t="n">
        <v>1.7</v>
      </c>
      <c r="D5" s="3" t="n">
        <v>50.1</v>
      </c>
      <c r="E5" s="3" t="n">
        <v>25.05</v>
      </c>
    </row>
    <row r="6" customFormat="false" ht="13.8" hidden="false" customHeight="false" outlineLevel="0" collapsed="false">
      <c r="A6" s="4" t="n">
        <v>45448</v>
      </c>
      <c r="B6" s="3" t="n">
        <v>0</v>
      </c>
      <c r="C6" s="3" t="n">
        <v>1.3</v>
      </c>
      <c r="D6" s="3" t="n">
        <v>50.7</v>
      </c>
      <c r="E6" s="3" t="n">
        <v>25.35</v>
      </c>
    </row>
    <row r="7" customFormat="false" ht="13.8" hidden="false" customHeight="false" outlineLevel="0" collapsed="false">
      <c r="A7" s="4" t="n">
        <v>45449</v>
      </c>
      <c r="B7" s="3" t="n">
        <v>0</v>
      </c>
      <c r="C7" s="3" t="n">
        <v>1.3</v>
      </c>
      <c r="D7" s="3" t="n">
        <v>51.2</v>
      </c>
      <c r="E7" s="3" t="n">
        <v>25.6</v>
      </c>
    </row>
    <row r="8" customFormat="false" ht="13.8" hidden="false" customHeight="false" outlineLevel="0" collapsed="false">
      <c r="A8" s="4" t="n">
        <v>45450</v>
      </c>
      <c r="B8" s="3" t="n">
        <v>0</v>
      </c>
      <c r="C8" s="3" t="n">
        <v>1.2</v>
      </c>
      <c r="D8" s="3" t="n">
        <v>51.7</v>
      </c>
      <c r="E8" s="3" t="n">
        <v>25.85</v>
      </c>
    </row>
    <row r="9" customFormat="false" ht="13.8" hidden="false" customHeight="false" outlineLevel="0" collapsed="false">
      <c r="A9" s="4" t="n">
        <v>45451</v>
      </c>
      <c r="B9" s="3" t="n">
        <v>0</v>
      </c>
      <c r="C9" s="3" t="n">
        <v>1.4</v>
      </c>
      <c r="D9" s="3" t="n">
        <v>52.3</v>
      </c>
      <c r="E9" s="3" t="n">
        <v>26.15</v>
      </c>
    </row>
    <row r="10" customFormat="false" ht="13.8" hidden="false" customHeight="false" outlineLevel="0" collapsed="false">
      <c r="A10" s="4" t="n">
        <v>45452</v>
      </c>
      <c r="B10" s="3" t="n">
        <v>0</v>
      </c>
      <c r="C10" s="3" t="n">
        <v>1.7</v>
      </c>
      <c r="D10" s="3" t="n">
        <v>52.8</v>
      </c>
      <c r="E10" s="3" t="n">
        <v>26.4</v>
      </c>
    </row>
    <row r="11" customFormat="false" ht="13.8" hidden="false" customHeight="false" outlineLevel="0" collapsed="false">
      <c r="A11" s="4" t="n">
        <v>45453</v>
      </c>
      <c r="B11" s="3" t="n">
        <v>0</v>
      </c>
      <c r="C11" s="3" t="n">
        <v>1.5</v>
      </c>
      <c r="D11" s="3" t="n">
        <v>53.3</v>
      </c>
      <c r="E11" s="3" t="n">
        <v>26.65</v>
      </c>
    </row>
    <row r="12" customFormat="false" ht="13.8" hidden="false" customHeight="false" outlineLevel="0" collapsed="false">
      <c r="A12" s="4" t="n">
        <v>45454</v>
      </c>
      <c r="B12" s="3" t="n">
        <v>0</v>
      </c>
      <c r="C12" s="3" t="n">
        <v>1.4</v>
      </c>
      <c r="D12" s="3" t="n">
        <v>53.9</v>
      </c>
      <c r="E12" s="3" t="n">
        <v>26.95</v>
      </c>
    </row>
    <row r="13" customFormat="false" ht="13.8" hidden="false" customHeight="false" outlineLevel="0" collapsed="false">
      <c r="A13" s="4" t="n">
        <v>45455</v>
      </c>
      <c r="B13" s="3" t="n">
        <v>0.1</v>
      </c>
      <c r="C13" s="3" t="n">
        <v>1.4</v>
      </c>
      <c r="D13" s="3" t="n">
        <v>54.4</v>
      </c>
      <c r="E13" s="3" t="n">
        <v>27.2</v>
      </c>
    </row>
    <row r="14" customFormat="false" ht="13.8" hidden="false" customHeight="false" outlineLevel="0" collapsed="false">
      <c r="A14" s="4" t="n">
        <v>45456</v>
      </c>
      <c r="B14" s="3" t="n">
        <v>0</v>
      </c>
      <c r="C14" s="3" t="n">
        <v>1.4</v>
      </c>
      <c r="D14" s="3" t="n">
        <v>54.9</v>
      </c>
      <c r="E14" s="3" t="n">
        <v>27.45</v>
      </c>
    </row>
    <row r="15" customFormat="false" ht="13.8" hidden="false" customHeight="false" outlineLevel="0" collapsed="false">
      <c r="A15" s="4" t="n">
        <v>45457</v>
      </c>
      <c r="B15" s="3" t="n">
        <v>0</v>
      </c>
      <c r="C15" s="3" t="n">
        <v>1.2</v>
      </c>
      <c r="D15" s="3" t="n">
        <v>55.5</v>
      </c>
      <c r="E15" s="3" t="n">
        <v>27.75</v>
      </c>
    </row>
    <row r="16" customFormat="false" ht="13.8" hidden="false" customHeight="false" outlineLevel="0" collapsed="false">
      <c r="A16" s="4" t="n">
        <v>45458</v>
      </c>
      <c r="B16" s="3" t="n">
        <v>0</v>
      </c>
      <c r="C16" s="3" t="n">
        <v>1.3</v>
      </c>
      <c r="D16" s="3" t="n">
        <v>56</v>
      </c>
      <c r="E16" s="3" t="n">
        <v>28</v>
      </c>
    </row>
    <row r="17" customFormat="false" ht="13.8" hidden="false" customHeight="false" outlineLevel="0" collapsed="false">
      <c r="A17" s="4" t="n">
        <v>45459</v>
      </c>
      <c r="B17" s="3" t="n">
        <v>0</v>
      </c>
      <c r="C17" s="3" t="n">
        <v>1.3</v>
      </c>
      <c r="D17" s="3" t="n">
        <v>56.5</v>
      </c>
      <c r="E17" s="3" t="n">
        <v>28.25</v>
      </c>
    </row>
    <row r="18" customFormat="false" ht="13.8" hidden="false" customHeight="false" outlineLevel="0" collapsed="false">
      <c r="A18" s="4" t="n">
        <v>45460</v>
      </c>
      <c r="B18" s="3" t="n">
        <v>0</v>
      </c>
      <c r="C18" s="3" t="n">
        <v>1</v>
      </c>
      <c r="D18" s="3" t="n">
        <v>57.1</v>
      </c>
      <c r="E18" s="3" t="n">
        <v>28.55</v>
      </c>
    </row>
    <row r="19" customFormat="false" ht="13.8" hidden="false" customHeight="false" outlineLevel="0" collapsed="false">
      <c r="A19" s="4" t="n">
        <v>45461</v>
      </c>
      <c r="B19" s="3" t="n">
        <v>0</v>
      </c>
      <c r="C19" s="3" t="n">
        <v>1.6</v>
      </c>
      <c r="D19" s="3" t="n">
        <v>57.6</v>
      </c>
      <c r="E19" s="3" t="n">
        <v>28.8</v>
      </c>
    </row>
    <row r="20" customFormat="false" ht="13.8" hidden="false" customHeight="false" outlineLevel="0" collapsed="false">
      <c r="A20" s="4" t="n">
        <v>45462</v>
      </c>
      <c r="B20" s="3" t="n">
        <v>0</v>
      </c>
      <c r="C20" s="3" t="n">
        <v>1.2</v>
      </c>
      <c r="D20" s="3" t="n">
        <v>58.1</v>
      </c>
      <c r="E20" s="3" t="n">
        <v>29.05</v>
      </c>
    </row>
    <row r="21" customFormat="false" ht="15.75" hidden="false" customHeight="true" outlineLevel="0" collapsed="false">
      <c r="A21" s="4" t="n">
        <v>45463</v>
      </c>
      <c r="B21" s="3" t="n">
        <v>0</v>
      </c>
      <c r="C21" s="3" t="n">
        <v>1.6</v>
      </c>
      <c r="D21" s="3" t="n">
        <v>58.7</v>
      </c>
      <c r="E21" s="3" t="n">
        <v>29.35</v>
      </c>
    </row>
    <row r="22" customFormat="false" ht="15.75" hidden="false" customHeight="true" outlineLevel="0" collapsed="false">
      <c r="A22" s="4" t="n">
        <v>45464</v>
      </c>
      <c r="B22" s="3" t="n">
        <v>0</v>
      </c>
      <c r="C22" s="3" t="n">
        <v>1.3</v>
      </c>
      <c r="D22" s="3" t="n">
        <v>59.2</v>
      </c>
      <c r="E22" s="3" t="n">
        <v>29.6</v>
      </c>
    </row>
    <row r="23" customFormat="false" ht="15.75" hidden="false" customHeight="true" outlineLevel="0" collapsed="false">
      <c r="A23" s="4" t="n">
        <v>45465</v>
      </c>
      <c r="B23" s="3" t="n">
        <v>0</v>
      </c>
      <c r="C23" s="3" t="n">
        <v>1.4</v>
      </c>
      <c r="D23" s="3" t="n">
        <v>59.7</v>
      </c>
      <c r="E23" s="3" t="n">
        <v>29.85</v>
      </c>
    </row>
    <row r="24" customFormat="false" ht="15.75" hidden="false" customHeight="true" outlineLevel="0" collapsed="false">
      <c r="A24" s="4" t="n">
        <v>45466</v>
      </c>
      <c r="B24" s="3" t="n">
        <v>0</v>
      </c>
      <c r="C24" s="3" t="n">
        <v>1.3</v>
      </c>
      <c r="D24" s="3" t="n">
        <v>60.3</v>
      </c>
      <c r="E24" s="3" t="n">
        <v>30.15</v>
      </c>
    </row>
    <row r="25" customFormat="false" ht="15.75" hidden="false" customHeight="true" outlineLevel="0" collapsed="false">
      <c r="A25" s="4" t="n">
        <v>45467</v>
      </c>
      <c r="B25" s="3" t="n">
        <v>0</v>
      </c>
      <c r="C25" s="3" t="n">
        <v>1.4</v>
      </c>
      <c r="D25" s="3" t="n">
        <v>60.8</v>
      </c>
      <c r="E25" s="3" t="n">
        <v>30.4</v>
      </c>
    </row>
    <row r="26" customFormat="false" ht="15.75" hidden="false" customHeight="true" outlineLevel="0" collapsed="false">
      <c r="A26" s="4" t="n">
        <v>45468</v>
      </c>
      <c r="B26" s="3" t="n">
        <v>0</v>
      </c>
      <c r="C26" s="3" t="n">
        <v>1.5</v>
      </c>
      <c r="D26" s="3" t="n">
        <v>61.3</v>
      </c>
      <c r="E26" s="3" t="n">
        <v>30.65</v>
      </c>
    </row>
    <row r="27" customFormat="false" ht="15.75" hidden="false" customHeight="true" outlineLevel="0" collapsed="false">
      <c r="A27" s="4" t="n">
        <v>45469</v>
      </c>
      <c r="B27" s="3" t="n">
        <v>0</v>
      </c>
      <c r="C27" s="3" t="n">
        <v>1.4</v>
      </c>
      <c r="D27" s="3" t="n">
        <v>61.9</v>
      </c>
      <c r="E27" s="3" t="n">
        <v>30.95</v>
      </c>
    </row>
    <row r="28" customFormat="false" ht="15.75" hidden="false" customHeight="true" outlineLevel="0" collapsed="false">
      <c r="A28" s="4" t="n">
        <v>45470</v>
      </c>
      <c r="B28" s="3" t="n">
        <v>0</v>
      </c>
      <c r="C28" s="3" t="n">
        <v>1.8</v>
      </c>
      <c r="D28" s="3" t="n">
        <v>62.4</v>
      </c>
      <c r="E28" s="3" t="n">
        <v>31.2</v>
      </c>
    </row>
    <row r="29" customFormat="false" ht="15.75" hidden="false" customHeight="true" outlineLevel="0" collapsed="false">
      <c r="A29" s="4" t="n">
        <v>45471</v>
      </c>
      <c r="B29" s="3" t="n">
        <v>0</v>
      </c>
      <c r="C29" s="3" t="n">
        <v>1.7</v>
      </c>
      <c r="D29" s="3" t="n">
        <v>62.9</v>
      </c>
      <c r="E29" s="3" t="n">
        <v>31.45</v>
      </c>
    </row>
    <row r="30" customFormat="false" ht="15.75" hidden="false" customHeight="true" outlineLevel="0" collapsed="false">
      <c r="A30" s="4" t="n">
        <v>45472</v>
      </c>
      <c r="B30" s="3" t="n">
        <v>0</v>
      </c>
      <c r="C30" s="3" t="n">
        <v>1.5</v>
      </c>
      <c r="D30" s="3" t="n">
        <v>63.5</v>
      </c>
      <c r="E30" s="3" t="n">
        <v>31.75</v>
      </c>
    </row>
    <row r="31" customFormat="false" ht="15.75" hidden="false" customHeight="true" outlineLevel="0" collapsed="false">
      <c r="A31" s="4" t="n">
        <v>45473</v>
      </c>
      <c r="B31" s="3" t="n">
        <v>0</v>
      </c>
      <c r="C31" s="3" t="n">
        <v>1.3</v>
      </c>
      <c r="D31" s="3" t="n">
        <v>64</v>
      </c>
      <c r="E31" s="3" t="n">
        <v>32</v>
      </c>
    </row>
    <row r="32" customFormat="false" ht="15.75" hidden="false" customHeight="true" outlineLevel="0" collapsed="false">
      <c r="A32" s="4" t="n">
        <v>45474</v>
      </c>
      <c r="B32" s="3" t="n">
        <v>0</v>
      </c>
      <c r="C32" s="3" t="n">
        <v>1.4</v>
      </c>
      <c r="D32" s="3" t="n">
        <v>64.5</v>
      </c>
      <c r="E32" s="3" t="n">
        <v>32.25</v>
      </c>
    </row>
    <row r="33" customFormat="false" ht="15.75" hidden="false" customHeight="true" outlineLevel="0" collapsed="false">
      <c r="A33" s="4" t="n">
        <v>45475</v>
      </c>
      <c r="B33" s="3" t="n">
        <v>0</v>
      </c>
      <c r="C33" s="3" t="n">
        <v>1.6</v>
      </c>
      <c r="D33" s="3" t="n">
        <v>65.1</v>
      </c>
      <c r="E33" s="3" t="n">
        <v>32.55</v>
      </c>
    </row>
    <row r="34" customFormat="false" ht="15.75" hidden="false" customHeight="true" outlineLevel="0" collapsed="false">
      <c r="A34" s="4" t="n">
        <v>45476</v>
      </c>
      <c r="B34" s="3" t="n">
        <v>0</v>
      </c>
      <c r="C34" s="3" t="n">
        <v>1.7</v>
      </c>
      <c r="D34" s="3" t="n">
        <v>65.6</v>
      </c>
      <c r="E34" s="3" t="n">
        <v>32.8</v>
      </c>
    </row>
    <row r="35" customFormat="false" ht="15.75" hidden="false" customHeight="true" outlineLevel="0" collapsed="false">
      <c r="A35" s="4" t="n">
        <v>45477</v>
      </c>
      <c r="B35" s="3" t="n">
        <v>0</v>
      </c>
      <c r="C35" s="3" t="n">
        <v>1.3</v>
      </c>
      <c r="D35" s="3" t="n">
        <v>66.1</v>
      </c>
      <c r="E35" s="3" t="n">
        <v>33.05</v>
      </c>
    </row>
    <row r="36" customFormat="false" ht="15.75" hidden="false" customHeight="true" outlineLevel="0" collapsed="false">
      <c r="A36" s="4" t="n">
        <v>45478</v>
      </c>
      <c r="B36" s="3" t="n">
        <v>0</v>
      </c>
      <c r="C36" s="3" t="n">
        <v>1.4</v>
      </c>
      <c r="D36" s="3" t="n">
        <v>66.7</v>
      </c>
      <c r="E36" s="3" t="n">
        <v>33.35</v>
      </c>
    </row>
    <row r="37" customFormat="false" ht="15.75" hidden="false" customHeight="true" outlineLevel="0" collapsed="false">
      <c r="A37" s="4" t="n">
        <v>45479</v>
      </c>
      <c r="B37" s="3" t="n">
        <v>0</v>
      </c>
      <c r="C37" s="3" t="n">
        <v>1.4</v>
      </c>
      <c r="D37" s="3" t="n">
        <v>67.2</v>
      </c>
      <c r="E37" s="3" t="n">
        <v>33.6</v>
      </c>
    </row>
    <row r="38" customFormat="false" ht="15.75" hidden="false" customHeight="true" outlineLevel="0" collapsed="false">
      <c r="A38" s="4" t="n">
        <v>45480</v>
      </c>
      <c r="B38" s="3" t="n">
        <v>0</v>
      </c>
      <c r="C38" s="3" t="n">
        <v>1.5</v>
      </c>
      <c r="D38" s="3" t="n">
        <v>67.7</v>
      </c>
      <c r="E38" s="3" t="n">
        <v>33.85</v>
      </c>
    </row>
    <row r="39" customFormat="false" ht="15.75" hidden="false" customHeight="true" outlineLevel="0" collapsed="false">
      <c r="A39" s="4" t="n">
        <v>45481</v>
      </c>
      <c r="B39" s="3" t="n">
        <v>0</v>
      </c>
      <c r="C39" s="3" t="n">
        <v>1.5</v>
      </c>
      <c r="D39" s="3" t="n">
        <v>68.3</v>
      </c>
      <c r="E39" s="3" t="n">
        <v>34.15</v>
      </c>
    </row>
    <row r="40" customFormat="false" ht="15.75" hidden="false" customHeight="true" outlineLevel="0" collapsed="false">
      <c r="A40" s="4" t="n">
        <v>45482</v>
      </c>
      <c r="B40" s="3" t="n">
        <v>0</v>
      </c>
      <c r="C40" s="3" t="n">
        <v>1.4</v>
      </c>
      <c r="D40" s="3" t="n">
        <v>68.8</v>
      </c>
      <c r="E40" s="3" t="n">
        <v>34.4</v>
      </c>
    </row>
    <row r="41" customFormat="false" ht="15.75" hidden="false" customHeight="true" outlineLevel="0" collapsed="false">
      <c r="A41" s="4" t="n">
        <v>45483</v>
      </c>
      <c r="B41" s="3" t="n">
        <v>0</v>
      </c>
      <c r="C41" s="3" t="n">
        <v>1.4</v>
      </c>
      <c r="D41" s="3" t="n">
        <v>69.3</v>
      </c>
      <c r="E41" s="3" t="n">
        <v>34.65</v>
      </c>
    </row>
    <row r="42" customFormat="false" ht="15.75" hidden="false" customHeight="true" outlineLevel="0" collapsed="false">
      <c r="A42" s="4" t="n">
        <v>45484</v>
      </c>
      <c r="B42" s="3" t="n">
        <v>0</v>
      </c>
      <c r="C42" s="3" t="n">
        <v>1.5</v>
      </c>
      <c r="D42" s="3" t="n">
        <v>69.9</v>
      </c>
      <c r="E42" s="3" t="n">
        <v>34.95</v>
      </c>
    </row>
    <row r="43" customFormat="false" ht="15.75" hidden="false" customHeight="true" outlineLevel="0" collapsed="false">
      <c r="A43" s="4" t="n">
        <v>45485</v>
      </c>
      <c r="B43" s="3" t="n">
        <v>0</v>
      </c>
      <c r="C43" s="3" t="n">
        <v>1.6</v>
      </c>
      <c r="D43" s="3" t="n">
        <v>70.4</v>
      </c>
      <c r="E43" s="3" t="n">
        <v>35.2</v>
      </c>
    </row>
    <row r="44" customFormat="false" ht="15.75" hidden="false" customHeight="true" outlineLevel="0" collapsed="false">
      <c r="A44" s="4" t="n">
        <v>45486</v>
      </c>
      <c r="B44" s="3" t="n">
        <v>0</v>
      </c>
      <c r="C44" s="3" t="n">
        <v>1.6</v>
      </c>
      <c r="D44" s="3" t="n">
        <v>70.9</v>
      </c>
      <c r="E44" s="3" t="n">
        <v>35.45</v>
      </c>
    </row>
    <row r="45" customFormat="false" ht="15.75" hidden="false" customHeight="true" outlineLevel="0" collapsed="false">
      <c r="A45" s="4" t="n">
        <v>45487</v>
      </c>
      <c r="B45" s="3" t="n">
        <v>0</v>
      </c>
      <c r="C45" s="3" t="n">
        <v>1.4</v>
      </c>
      <c r="D45" s="3" t="n">
        <v>71.5</v>
      </c>
      <c r="E45" s="3" t="n">
        <v>35.75</v>
      </c>
    </row>
    <row r="46" customFormat="false" ht="15.75" hidden="false" customHeight="true" outlineLevel="0" collapsed="false">
      <c r="A46" s="4" t="n">
        <v>45488</v>
      </c>
      <c r="B46" s="3" t="n">
        <v>0</v>
      </c>
      <c r="C46" s="3" t="n">
        <v>1.4</v>
      </c>
      <c r="D46" s="3" t="n">
        <v>72</v>
      </c>
      <c r="E46" s="3" t="n">
        <v>36</v>
      </c>
    </row>
    <row r="47" customFormat="false" ht="15.75" hidden="false" customHeight="true" outlineLevel="0" collapsed="false">
      <c r="A47" s="4" t="n">
        <v>45489</v>
      </c>
      <c r="B47" s="3" t="n">
        <v>0</v>
      </c>
      <c r="C47" s="3" t="n">
        <v>1.4</v>
      </c>
      <c r="D47" s="3" t="n">
        <v>72.5</v>
      </c>
      <c r="E47" s="3" t="n">
        <v>36.25</v>
      </c>
    </row>
    <row r="48" customFormat="false" ht="15.75" hidden="false" customHeight="true" outlineLevel="0" collapsed="false">
      <c r="A48" s="4" t="n">
        <v>45490</v>
      </c>
      <c r="B48" s="3" t="n">
        <v>0</v>
      </c>
      <c r="C48" s="3" t="n">
        <v>1.5</v>
      </c>
      <c r="D48" s="3" t="n">
        <v>73.1</v>
      </c>
      <c r="E48" s="3" t="n">
        <v>36.55</v>
      </c>
    </row>
    <row r="49" customFormat="false" ht="15.75" hidden="false" customHeight="true" outlineLevel="0" collapsed="false">
      <c r="A49" s="4" t="n">
        <v>45491</v>
      </c>
      <c r="B49" s="3" t="n">
        <v>0</v>
      </c>
      <c r="C49" s="3" t="n">
        <v>1.5</v>
      </c>
      <c r="D49" s="3" t="n">
        <v>73.6</v>
      </c>
      <c r="E49" s="3" t="n">
        <v>36.8</v>
      </c>
    </row>
    <row r="50" customFormat="false" ht="15.75" hidden="false" customHeight="true" outlineLevel="0" collapsed="false">
      <c r="A50" s="4" t="n">
        <v>45492</v>
      </c>
      <c r="B50" s="3" t="n">
        <v>0</v>
      </c>
      <c r="C50" s="3" t="n">
        <v>1.3</v>
      </c>
      <c r="D50" s="3" t="n">
        <v>74.1</v>
      </c>
      <c r="E50" s="3" t="n">
        <v>37.05</v>
      </c>
    </row>
    <row r="51" customFormat="false" ht="15.75" hidden="false" customHeight="true" outlineLevel="0" collapsed="false">
      <c r="A51" s="4" t="n">
        <v>45493</v>
      </c>
      <c r="B51" s="3" t="n">
        <v>0</v>
      </c>
      <c r="C51" s="3" t="n">
        <v>1.2</v>
      </c>
      <c r="D51" s="3" t="n">
        <v>74.7</v>
      </c>
      <c r="E51" s="3" t="n">
        <v>37.35</v>
      </c>
    </row>
    <row r="52" customFormat="false" ht="15.75" hidden="false" customHeight="true" outlineLevel="0" collapsed="false">
      <c r="A52" s="4" t="n">
        <v>45494</v>
      </c>
      <c r="B52" s="3" t="n">
        <v>0</v>
      </c>
      <c r="C52" s="3" t="n">
        <v>1.3</v>
      </c>
      <c r="D52" s="3" t="n">
        <v>75.2</v>
      </c>
      <c r="E52" s="3" t="n">
        <v>37.6</v>
      </c>
    </row>
    <row r="53" customFormat="false" ht="15.75" hidden="false" customHeight="true" outlineLevel="0" collapsed="false">
      <c r="A53" s="4" t="n">
        <v>45495</v>
      </c>
      <c r="B53" s="3" t="n">
        <v>0</v>
      </c>
      <c r="C53" s="3" t="n">
        <v>1.3</v>
      </c>
      <c r="D53" s="3" t="n">
        <v>75.7</v>
      </c>
      <c r="E53" s="3" t="n">
        <v>37.85</v>
      </c>
    </row>
    <row r="54" customFormat="false" ht="15.75" hidden="false" customHeight="true" outlineLevel="0" collapsed="false">
      <c r="A54" s="4" t="n">
        <v>45496</v>
      </c>
      <c r="B54" s="3" t="n">
        <v>0</v>
      </c>
      <c r="C54" s="3" t="n">
        <v>1.3</v>
      </c>
      <c r="D54" s="3" t="n">
        <v>76.3</v>
      </c>
      <c r="E54" s="3" t="n">
        <v>38.15</v>
      </c>
    </row>
    <row r="55" customFormat="false" ht="15.75" hidden="false" customHeight="true" outlineLevel="0" collapsed="false">
      <c r="A55" s="4" t="n">
        <v>45497</v>
      </c>
      <c r="B55" s="3" t="n">
        <v>0</v>
      </c>
      <c r="C55" s="3" t="n">
        <v>1.1</v>
      </c>
      <c r="D55" s="3" t="n">
        <v>76.8</v>
      </c>
      <c r="E55" s="3" t="n">
        <v>38.4</v>
      </c>
    </row>
    <row r="56" customFormat="false" ht="15.75" hidden="false" customHeight="true" outlineLevel="0" collapsed="false">
      <c r="A56" s="4" t="n">
        <v>45498</v>
      </c>
      <c r="B56" s="3" t="n">
        <v>0</v>
      </c>
      <c r="C56" s="3" t="n">
        <v>1.4</v>
      </c>
      <c r="D56" s="3" t="n">
        <v>77.3</v>
      </c>
      <c r="E56" s="3" t="n">
        <v>38.65</v>
      </c>
    </row>
    <row r="57" customFormat="false" ht="15.75" hidden="false" customHeight="true" outlineLevel="0" collapsed="false">
      <c r="A57" s="4" t="n">
        <v>45499</v>
      </c>
      <c r="B57" s="3" t="n">
        <v>0</v>
      </c>
      <c r="C57" s="3" t="n">
        <v>1.4</v>
      </c>
      <c r="D57" s="3" t="n">
        <v>77.9</v>
      </c>
      <c r="E57" s="3" t="n">
        <v>38.95</v>
      </c>
    </row>
    <row r="58" customFormat="false" ht="15.75" hidden="false" customHeight="true" outlineLevel="0" collapsed="false">
      <c r="A58" s="4" t="n">
        <v>45500</v>
      </c>
      <c r="B58" s="3" t="n">
        <v>0</v>
      </c>
      <c r="C58" s="3" t="n">
        <v>1.4</v>
      </c>
      <c r="D58" s="3" t="n">
        <v>78.4</v>
      </c>
      <c r="E58" s="3" t="n">
        <v>39.2</v>
      </c>
    </row>
    <row r="59" customFormat="false" ht="15.75" hidden="false" customHeight="true" outlineLevel="0" collapsed="false">
      <c r="A59" s="4" t="n">
        <v>45501</v>
      </c>
      <c r="B59" s="3" t="n">
        <v>0</v>
      </c>
      <c r="C59" s="3" t="n">
        <v>1.3</v>
      </c>
      <c r="D59" s="3" t="n">
        <v>78.9</v>
      </c>
      <c r="E59" s="3" t="n">
        <v>39.45</v>
      </c>
    </row>
    <row r="60" customFormat="false" ht="15.75" hidden="false" customHeight="true" outlineLevel="0" collapsed="false">
      <c r="A60" s="4" t="n">
        <v>45502</v>
      </c>
      <c r="B60" s="3" t="n">
        <v>0</v>
      </c>
      <c r="C60" s="3" t="n">
        <v>1.2</v>
      </c>
      <c r="D60" s="3" t="n">
        <v>79.5</v>
      </c>
      <c r="E60" s="3" t="n">
        <v>39.75</v>
      </c>
    </row>
    <row r="61" customFormat="false" ht="15.75" hidden="false" customHeight="true" outlineLevel="0" collapsed="false">
      <c r="A61" s="4" t="n">
        <v>45503</v>
      </c>
      <c r="B61" s="3" t="n">
        <v>0</v>
      </c>
      <c r="C61" s="3" t="n">
        <v>1.5</v>
      </c>
      <c r="D61" s="3" t="n">
        <v>80</v>
      </c>
      <c r="E61" s="3" t="n">
        <v>40</v>
      </c>
    </row>
    <row r="62" customFormat="false" ht="15.75" hidden="false" customHeight="true" outlineLevel="0" collapsed="false">
      <c r="A62" s="4" t="n">
        <v>45504</v>
      </c>
      <c r="B62" s="3" t="n">
        <v>0</v>
      </c>
      <c r="C62" s="3" t="n">
        <v>1.7</v>
      </c>
      <c r="D62" s="3" t="n">
        <v>80.5</v>
      </c>
      <c r="E62" s="3" t="n">
        <v>40.25</v>
      </c>
    </row>
    <row r="63" customFormat="false" ht="15.75" hidden="false" customHeight="true" outlineLevel="0" collapsed="false">
      <c r="A63" s="4" t="n">
        <v>45505</v>
      </c>
      <c r="B63" s="3" t="n">
        <v>0</v>
      </c>
      <c r="C63" s="3" t="n">
        <v>1.3</v>
      </c>
      <c r="D63" s="3" t="n">
        <v>81.1</v>
      </c>
      <c r="E63" s="3" t="n">
        <v>40.55</v>
      </c>
    </row>
    <row r="64" customFormat="false" ht="15.75" hidden="false" customHeight="true" outlineLevel="0" collapsed="false">
      <c r="A64" s="4" t="n">
        <v>45506</v>
      </c>
      <c r="B64" s="3" t="n">
        <v>0</v>
      </c>
      <c r="C64" s="3" t="n">
        <v>1.4</v>
      </c>
      <c r="D64" s="3" t="n">
        <v>81.6</v>
      </c>
      <c r="E64" s="3" t="n">
        <v>40.8</v>
      </c>
    </row>
    <row r="65" customFormat="false" ht="15.75" hidden="false" customHeight="true" outlineLevel="0" collapsed="false">
      <c r="A65" s="4" t="n">
        <v>45507</v>
      </c>
      <c r="B65" s="3" t="n">
        <v>0</v>
      </c>
      <c r="C65" s="3" t="n">
        <v>1.7</v>
      </c>
      <c r="D65" s="3" t="n">
        <v>82.1</v>
      </c>
      <c r="E65" s="3" t="n">
        <v>41.05</v>
      </c>
    </row>
    <row r="66" customFormat="false" ht="15.75" hidden="false" customHeight="true" outlineLevel="0" collapsed="false">
      <c r="A66" s="4" t="n">
        <v>45508</v>
      </c>
      <c r="B66" s="3" t="n">
        <v>0</v>
      </c>
      <c r="C66" s="3" t="n">
        <v>1.6</v>
      </c>
      <c r="D66" s="3" t="n">
        <v>82.7</v>
      </c>
      <c r="E66" s="3" t="n">
        <v>41.35</v>
      </c>
    </row>
    <row r="67" customFormat="false" ht="15.75" hidden="false" customHeight="true" outlineLevel="0" collapsed="false">
      <c r="A67" s="4" t="n">
        <v>45509</v>
      </c>
      <c r="B67" s="3" t="n">
        <v>0</v>
      </c>
      <c r="C67" s="3" t="n">
        <v>1.1</v>
      </c>
      <c r="D67" s="3" t="n">
        <v>83.2</v>
      </c>
      <c r="E67" s="3" t="n">
        <v>41.6</v>
      </c>
    </row>
    <row r="68" customFormat="false" ht="15.75" hidden="false" customHeight="true" outlineLevel="0" collapsed="false">
      <c r="A68" s="4" t="n">
        <v>45510</v>
      </c>
      <c r="B68" s="3" t="n">
        <v>0</v>
      </c>
      <c r="C68" s="3" t="n">
        <v>1.6</v>
      </c>
      <c r="D68" s="3" t="n">
        <v>83.7</v>
      </c>
      <c r="E68" s="3" t="n">
        <v>41.85</v>
      </c>
    </row>
    <row r="69" customFormat="false" ht="15.75" hidden="false" customHeight="true" outlineLevel="0" collapsed="false">
      <c r="A69" s="4" t="n">
        <v>45511</v>
      </c>
      <c r="B69" s="3" t="n">
        <v>0.7</v>
      </c>
      <c r="C69" s="3" t="n">
        <v>1.9</v>
      </c>
      <c r="D69" s="3" t="n">
        <v>84.3</v>
      </c>
      <c r="E69" s="3" t="n">
        <v>42.15</v>
      </c>
    </row>
    <row r="70" customFormat="false" ht="15.75" hidden="false" customHeight="true" outlineLevel="0" collapsed="false">
      <c r="A70" s="4" t="n">
        <v>45512</v>
      </c>
      <c r="B70" s="3" t="n">
        <v>0</v>
      </c>
      <c r="C70" s="3" t="n">
        <v>1.7</v>
      </c>
      <c r="D70" s="3" t="n">
        <v>84.8</v>
      </c>
      <c r="E70" s="3" t="n">
        <v>42.4</v>
      </c>
    </row>
    <row r="71" customFormat="false" ht="15.75" hidden="false" customHeight="true" outlineLevel="0" collapsed="false">
      <c r="A71" s="4" t="n">
        <v>45513</v>
      </c>
      <c r="B71" s="3" t="n">
        <v>0</v>
      </c>
      <c r="C71" s="3" t="n">
        <v>1.5</v>
      </c>
      <c r="D71" s="3" t="n">
        <v>85.3</v>
      </c>
      <c r="E71" s="3" t="n">
        <v>42.65</v>
      </c>
    </row>
    <row r="72" customFormat="false" ht="15.75" hidden="false" customHeight="true" outlineLevel="0" collapsed="false">
      <c r="A72" s="4" t="n">
        <v>45514</v>
      </c>
      <c r="B72" s="3" t="n">
        <v>0</v>
      </c>
      <c r="C72" s="3" t="n">
        <v>1.5</v>
      </c>
      <c r="D72" s="3" t="n">
        <v>85.9</v>
      </c>
      <c r="E72" s="3" t="n">
        <v>42.95</v>
      </c>
    </row>
    <row r="73" customFormat="false" ht="15.75" hidden="false" customHeight="true" outlineLevel="0" collapsed="false">
      <c r="A73" s="4" t="n">
        <v>45515</v>
      </c>
      <c r="B73" s="3" t="n">
        <v>0</v>
      </c>
      <c r="C73" s="3" t="n">
        <v>1.5</v>
      </c>
      <c r="D73" s="3" t="n">
        <v>86.4</v>
      </c>
      <c r="E73" s="3" t="n">
        <v>43.2</v>
      </c>
    </row>
    <row r="74" customFormat="false" ht="15.75" hidden="false" customHeight="true" outlineLevel="0" collapsed="false">
      <c r="A74" s="4" t="n">
        <v>45516</v>
      </c>
      <c r="B74" s="3" t="n">
        <v>0</v>
      </c>
      <c r="C74" s="3" t="n">
        <v>1.7</v>
      </c>
      <c r="D74" s="3" t="n">
        <v>86.9</v>
      </c>
      <c r="E74" s="3" t="n">
        <v>43.45</v>
      </c>
    </row>
    <row r="75" customFormat="false" ht="15.75" hidden="false" customHeight="true" outlineLevel="0" collapsed="false">
      <c r="A75" s="4" t="n">
        <v>45517</v>
      </c>
      <c r="B75" s="3" t="n">
        <v>0</v>
      </c>
      <c r="C75" s="3" t="n">
        <v>1.6</v>
      </c>
      <c r="D75" s="3" t="n">
        <v>87.5</v>
      </c>
      <c r="E75" s="3" t="n">
        <v>43.75</v>
      </c>
    </row>
    <row r="76" customFormat="false" ht="15.75" hidden="false" customHeight="true" outlineLevel="0" collapsed="false">
      <c r="A76" s="4" t="n">
        <v>45518</v>
      </c>
      <c r="B76" s="3" t="n">
        <v>0</v>
      </c>
      <c r="C76" s="3" t="n">
        <v>1.5</v>
      </c>
      <c r="D76" s="3" t="n">
        <v>88</v>
      </c>
      <c r="E76" s="3" t="n">
        <v>44</v>
      </c>
    </row>
    <row r="77" customFormat="false" ht="15.75" hidden="false" customHeight="true" outlineLevel="0" collapsed="false">
      <c r="A77" s="4" t="n">
        <v>45519</v>
      </c>
      <c r="B77" s="3" t="n">
        <v>0</v>
      </c>
      <c r="C77" s="3" t="n">
        <v>1.8</v>
      </c>
      <c r="D77" s="3" t="n">
        <v>88.5</v>
      </c>
      <c r="E77" s="3" t="n">
        <v>44.25</v>
      </c>
    </row>
    <row r="78" customFormat="false" ht="15.75" hidden="false" customHeight="true" outlineLevel="0" collapsed="false">
      <c r="A78" s="4" t="n">
        <v>45520</v>
      </c>
      <c r="B78" s="3" t="n">
        <v>0</v>
      </c>
      <c r="C78" s="3" t="n">
        <v>2</v>
      </c>
      <c r="D78" s="3" t="n">
        <v>89.1</v>
      </c>
      <c r="E78" s="3" t="n">
        <v>44.55</v>
      </c>
    </row>
    <row r="79" customFormat="false" ht="15.75" hidden="false" customHeight="true" outlineLevel="0" collapsed="false">
      <c r="A79" s="4" t="n">
        <v>45521</v>
      </c>
      <c r="B79" s="3" t="n">
        <v>0</v>
      </c>
      <c r="C79" s="3" t="n">
        <v>2.2</v>
      </c>
      <c r="D79" s="3" t="n">
        <v>89.6</v>
      </c>
      <c r="E79" s="3" t="n">
        <v>44.8</v>
      </c>
    </row>
    <row r="80" customFormat="false" ht="15.75" hidden="false" customHeight="true" outlineLevel="0" collapsed="false">
      <c r="A80" s="4" t="n">
        <v>45522</v>
      </c>
      <c r="B80" s="3" t="n">
        <v>0</v>
      </c>
      <c r="C80" s="3" t="n">
        <v>1.8</v>
      </c>
      <c r="D80" s="3" t="n">
        <v>90.1</v>
      </c>
      <c r="E80" s="3" t="n">
        <v>45.05</v>
      </c>
    </row>
    <row r="81" customFormat="false" ht="15.75" hidden="false" customHeight="true" outlineLevel="0" collapsed="false">
      <c r="A81" s="4" t="n">
        <v>45523</v>
      </c>
      <c r="B81" s="3" t="n">
        <v>0</v>
      </c>
      <c r="C81" s="3" t="n">
        <v>1.5</v>
      </c>
      <c r="D81" s="3" t="n">
        <v>90.7</v>
      </c>
      <c r="E81" s="3" t="n">
        <v>45.35</v>
      </c>
    </row>
    <row r="82" customFormat="false" ht="15.75" hidden="false" customHeight="true" outlineLevel="0" collapsed="false">
      <c r="A82" s="4" t="n">
        <v>45524</v>
      </c>
      <c r="B82" s="3" t="n">
        <v>0</v>
      </c>
      <c r="C82" s="3" t="n">
        <v>1.7</v>
      </c>
      <c r="D82" s="3" t="n">
        <v>91.2</v>
      </c>
      <c r="E82" s="3" t="n">
        <v>45.6</v>
      </c>
    </row>
    <row r="83" customFormat="false" ht="15.75" hidden="false" customHeight="true" outlineLevel="0" collapsed="false">
      <c r="A83" s="4" t="n">
        <v>45525</v>
      </c>
      <c r="B83" s="3" t="n">
        <v>0</v>
      </c>
      <c r="C83" s="3" t="n">
        <v>1.7</v>
      </c>
      <c r="D83" s="3" t="n">
        <v>91.7</v>
      </c>
      <c r="E83" s="3" t="n">
        <v>45.85</v>
      </c>
    </row>
    <row r="84" customFormat="false" ht="15.75" hidden="false" customHeight="true" outlineLevel="0" collapsed="false">
      <c r="A84" s="4" t="n">
        <v>45526</v>
      </c>
      <c r="B84" s="3" t="n">
        <v>0</v>
      </c>
      <c r="C84" s="3" t="n">
        <v>2.1</v>
      </c>
      <c r="D84" s="3" t="n">
        <v>92.3</v>
      </c>
      <c r="E84" s="3" t="n">
        <v>46.15</v>
      </c>
    </row>
    <row r="85" customFormat="false" ht="15.75" hidden="false" customHeight="true" outlineLevel="0" collapsed="false">
      <c r="A85" s="4" t="n">
        <v>45527</v>
      </c>
      <c r="B85" s="3" t="n">
        <v>0</v>
      </c>
      <c r="C85" s="3" t="n">
        <v>2.1</v>
      </c>
      <c r="D85" s="3" t="n">
        <v>92.8</v>
      </c>
      <c r="E85" s="3" t="n">
        <v>46.4</v>
      </c>
    </row>
    <row r="86" customFormat="false" ht="15.75" hidden="false" customHeight="true" outlineLevel="0" collapsed="false">
      <c r="A86" s="4" t="n">
        <v>45528</v>
      </c>
      <c r="B86" s="3" t="n">
        <v>0</v>
      </c>
      <c r="C86" s="3" t="n">
        <v>1.9</v>
      </c>
      <c r="D86" s="3" t="n">
        <v>93.3</v>
      </c>
      <c r="E86" s="3" t="n">
        <v>46.65</v>
      </c>
    </row>
    <row r="87" customFormat="false" ht="15.75" hidden="false" customHeight="true" outlineLevel="0" collapsed="false">
      <c r="A87" s="4" t="n">
        <v>45529</v>
      </c>
      <c r="B87" s="3" t="n">
        <v>0</v>
      </c>
      <c r="C87" s="3" t="n">
        <v>1.7</v>
      </c>
      <c r="D87" s="3" t="n">
        <v>93.9</v>
      </c>
      <c r="E87" s="3" t="n">
        <v>46.95</v>
      </c>
    </row>
    <row r="88" customFormat="false" ht="15.75" hidden="false" customHeight="true" outlineLevel="0" collapsed="false">
      <c r="A88" s="4" t="n">
        <v>45530</v>
      </c>
      <c r="B88" s="3" t="n">
        <v>0</v>
      </c>
      <c r="C88" s="3" t="n">
        <v>1.9</v>
      </c>
      <c r="D88" s="3" t="n">
        <v>94.4</v>
      </c>
      <c r="E88" s="3" t="n">
        <v>47.2</v>
      </c>
    </row>
    <row r="89" customFormat="false" ht="15.75" hidden="false" customHeight="true" outlineLevel="0" collapsed="false">
      <c r="A89" s="4" t="n">
        <v>45531</v>
      </c>
      <c r="B89" s="3" t="n">
        <v>0</v>
      </c>
      <c r="C89" s="3" t="n">
        <v>2.1</v>
      </c>
      <c r="D89" s="3" t="n">
        <v>94.9</v>
      </c>
      <c r="E89" s="3" t="n">
        <v>47.45</v>
      </c>
    </row>
    <row r="90" customFormat="false" ht="15.75" hidden="false" customHeight="true" outlineLevel="0" collapsed="false">
      <c r="A90" s="4" t="n">
        <v>45532</v>
      </c>
      <c r="B90" s="3" t="n">
        <v>0</v>
      </c>
      <c r="C90" s="3" t="n">
        <v>1.9</v>
      </c>
      <c r="D90" s="3" t="n">
        <v>95.5</v>
      </c>
      <c r="E90" s="3" t="n">
        <v>47.75</v>
      </c>
    </row>
    <row r="91" customFormat="false" ht="15.75" hidden="false" customHeight="true" outlineLevel="0" collapsed="false">
      <c r="A91" s="4" t="n">
        <v>45533</v>
      </c>
      <c r="B91" s="3" t="n">
        <v>0</v>
      </c>
      <c r="C91" s="3" t="n">
        <v>1.6</v>
      </c>
      <c r="D91" s="3" t="n">
        <v>96</v>
      </c>
      <c r="E91" s="3" t="n">
        <v>48</v>
      </c>
    </row>
    <row r="92" customFormat="false" ht="15.75" hidden="false" customHeight="true" outlineLevel="0" collapsed="false">
      <c r="A92" s="4" t="n">
        <v>45534</v>
      </c>
      <c r="B92" s="3" t="n">
        <v>0</v>
      </c>
      <c r="C92" s="3" t="n">
        <v>1.9</v>
      </c>
      <c r="D92" s="3" t="n">
        <v>96.5</v>
      </c>
      <c r="E92" s="3" t="n">
        <v>48.25</v>
      </c>
    </row>
    <row r="93" customFormat="false" ht="15.75" hidden="false" customHeight="true" outlineLevel="0" collapsed="false">
      <c r="A93" s="4" t="n">
        <v>45535</v>
      </c>
      <c r="B93" s="3" t="n">
        <v>0</v>
      </c>
      <c r="C93" s="3" t="n">
        <v>2</v>
      </c>
      <c r="D93" s="3" t="n">
        <v>97.1</v>
      </c>
      <c r="E93" s="3" t="n">
        <v>48.55</v>
      </c>
    </row>
    <row r="94" customFormat="false" ht="15.75" hidden="false" customHeight="true" outlineLevel="0" collapsed="false">
      <c r="A94" s="4" t="n">
        <v>45536</v>
      </c>
      <c r="B94" s="3" t="n">
        <v>0</v>
      </c>
      <c r="C94" s="3" t="n">
        <v>3.4</v>
      </c>
      <c r="D94" s="3" t="n">
        <v>97.6</v>
      </c>
      <c r="E94" s="3" t="n">
        <v>48.8</v>
      </c>
    </row>
    <row r="95" customFormat="false" ht="15.75" hidden="false" customHeight="true" outlineLevel="0" collapsed="false">
      <c r="A95" s="4" t="n">
        <v>45537</v>
      </c>
      <c r="B95" s="3" t="n">
        <v>0</v>
      </c>
      <c r="C95" s="3" t="n">
        <v>3.7</v>
      </c>
      <c r="D95" s="3" t="n">
        <v>98.1</v>
      </c>
      <c r="E95" s="3" t="n">
        <v>49.05</v>
      </c>
    </row>
    <row r="96" customFormat="false" ht="15.75" hidden="false" customHeight="true" outlineLevel="0" collapsed="false">
      <c r="A96" s="4" t="n">
        <v>45538</v>
      </c>
      <c r="B96" s="3" t="n">
        <v>0</v>
      </c>
      <c r="C96" s="3" t="n">
        <v>3.3</v>
      </c>
      <c r="D96" s="3" t="n">
        <v>98.7</v>
      </c>
      <c r="E96" s="3" t="n">
        <v>49.35</v>
      </c>
    </row>
    <row r="97" customFormat="false" ht="15.75" hidden="false" customHeight="true" outlineLevel="0" collapsed="false">
      <c r="A97" s="4" t="n">
        <v>45539</v>
      </c>
      <c r="B97" s="3" t="n">
        <v>0</v>
      </c>
      <c r="C97" s="3" t="n">
        <v>3.8</v>
      </c>
      <c r="D97" s="3" t="n">
        <v>99.2</v>
      </c>
      <c r="E97" s="3" t="n">
        <v>49.6</v>
      </c>
    </row>
    <row r="98" customFormat="false" ht="15.75" hidden="false" customHeight="true" outlineLevel="0" collapsed="false">
      <c r="A98" s="4" t="n">
        <v>45540</v>
      </c>
      <c r="B98" s="3" t="n">
        <v>0</v>
      </c>
      <c r="C98" s="3" t="n">
        <v>3.1</v>
      </c>
      <c r="D98" s="3" t="n">
        <v>99.7</v>
      </c>
      <c r="E98" s="3" t="n">
        <v>49.85</v>
      </c>
    </row>
    <row r="99" customFormat="false" ht="15.75" hidden="false" customHeight="true" outlineLevel="0" collapsed="false">
      <c r="A99" s="4" t="n">
        <v>45541</v>
      </c>
      <c r="B99" s="3" t="n">
        <v>0</v>
      </c>
      <c r="C99" s="3" t="n">
        <v>3.4</v>
      </c>
      <c r="D99" s="3" t="n">
        <v>100.3</v>
      </c>
      <c r="E99" s="3" t="n">
        <v>50.15</v>
      </c>
    </row>
    <row r="100" customFormat="false" ht="15.75" hidden="false" customHeight="true" outlineLevel="0" collapsed="false">
      <c r="A100" s="4" t="n">
        <v>45542</v>
      </c>
      <c r="B100" s="3" t="n">
        <v>0</v>
      </c>
      <c r="C100" s="3" t="n">
        <v>2.8</v>
      </c>
      <c r="D100" s="3" t="n">
        <v>100.8</v>
      </c>
      <c r="E100" s="3" t="n">
        <v>50.4</v>
      </c>
    </row>
    <row r="101" customFormat="false" ht="15.75" hidden="false" customHeight="true" outlineLevel="0" collapsed="false">
      <c r="A101" s="4" t="n">
        <v>45543</v>
      </c>
      <c r="B101" s="3" t="n">
        <v>0</v>
      </c>
      <c r="C101" s="3" t="n">
        <v>3.5</v>
      </c>
      <c r="D101" s="3" t="n">
        <v>101.3</v>
      </c>
      <c r="E101" s="3" t="n">
        <v>50.65</v>
      </c>
    </row>
    <row r="102" customFormat="false" ht="15.75" hidden="false" customHeight="true" outlineLevel="0" collapsed="false">
      <c r="A102" s="4" t="n">
        <v>45544</v>
      </c>
      <c r="B102" s="3" t="n">
        <v>0</v>
      </c>
      <c r="C102" s="3" t="n">
        <v>3.5</v>
      </c>
      <c r="D102" s="3" t="n">
        <v>101.9</v>
      </c>
      <c r="E102" s="3" t="n">
        <v>50.95</v>
      </c>
    </row>
    <row r="103" customFormat="false" ht="15.75" hidden="false" customHeight="true" outlineLevel="0" collapsed="false">
      <c r="A103" s="4" t="n">
        <v>45545</v>
      </c>
      <c r="B103" s="3" t="n">
        <v>0</v>
      </c>
      <c r="C103" s="3" t="n">
        <v>4</v>
      </c>
      <c r="D103" s="3" t="n">
        <v>102.4</v>
      </c>
      <c r="E103" s="3" t="n">
        <v>51.2</v>
      </c>
    </row>
    <row r="104" customFormat="false" ht="15.75" hidden="false" customHeight="true" outlineLevel="0" collapsed="false">
      <c r="A104" s="4" t="n">
        <v>45546</v>
      </c>
      <c r="B104" s="3" t="n">
        <v>0</v>
      </c>
      <c r="C104" s="3" t="n">
        <v>3.7</v>
      </c>
      <c r="D104" s="3" t="n">
        <v>102.9</v>
      </c>
      <c r="E104" s="3" t="n">
        <v>51.45</v>
      </c>
    </row>
    <row r="105" customFormat="false" ht="15.75" hidden="false" customHeight="true" outlineLevel="0" collapsed="false">
      <c r="A105" s="4" t="n">
        <v>45547</v>
      </c>
      <c r="B105" s="3" t="n">
        <v>0</v>
      </c>
      <c r="C105" s="3" t="n">
        <v>3.1</v>
      </c>
      <c r="D105" s="3" t="n">
        <v>103.5</v>
      </c>
      <c r="E105" s="3" t="n">
        <v>51.75</v>
      </c>
    </row>
    <row r="106" customFormat="false" ht="15.75" hidden="false" customHeight="true" outlineLevel="0" collapsed="false">
      <c r="A106" s="4" t="n">
        <v>45548</v>
      </c>
      <c r="B106" s="3" t="n">
        <v>0</v>
      </c>
      <c r="C106" s="3" t="n">
        <v>3.9</v>
      </c>
      <c r="D106" s="3" t="n">
        <v>104</v>
      </c>
      <c r="E106" s="3" t="n">
        <v>52</v>
      </c>
    </row>
    <row r="107" customFormat="false" ht="15.75" hidden="false" customHeight="true" outlineLevel="0" collapsed="false">
      <c r="A107" s="4" t="n">
        <v>45549</v>
      </c>
      <c r="B107" s="3" t="n">
        <v>0</v>
      </c>
      <c r="C107" s="3" t="n">
        <v>3.8</v>
      </c>
      <c r="D107" s="3" t="n">
        <v>104.5</v>
      </c>
      <c r="E107" s="3" t="n">
        <v>52.25</v>
      </c>
    </row>
    <row r="108" customFormat="false" ht="15.75" hidden="false" customHeight="true" outlineLevel="0" collapsed="false">
      <c r="A108" s="4" t="n">
        <v>45550</v>
      </c>
      <c r="B108" s="3" t="n">
        <v>0</v>
      </c>
      <c r="C108" s="3" t="n">
        <v>3.4</v>
      </c>
      <c r="D108" s="3" t="n">
        <v>105.1</v>
      </c>
      <c r="E108" s="3" t="n">
        <v>52.55</v>
      </c>
    </row>
    <row r="109" customFormat="false" ht="15.75" hidden="false" customHeight="true" outlineLevel="0" collapsed="false">
      <c r="A109" s="4" t="n">
        <v>45551</v>
      </c>
      <c r="B109" s="3" t="n">
        <v>0</v>
      </c>
      <c r="C109" s="3" t="n">
        <v>3.2</v>
      </c>
      <c r="D109" s="3" t="n">
        <v>105.6</v>
      </c>
      <c r="E109" s="3" t="n">
        <v>52.8</v>
      </c>
    </row>
    <row r="110" customFormat="false" ht="15.75" hidden="false" customHeight="true" outlineLevel="0" collapsed="false">
      <c r="A110" s="4" t="n">
        <v>45552</v>
      </c>
      <c r="B110" s="3" t="n">
        <v>0</v>
      </c>
      <c r="C110" s="3" t="n">
        <v>4.2</v>
      </c>
      <c r="D110" s="3" t="n">
        <v>106.1</v>
      </c>
      <c r="E110" s="3" t="n">
        <v>53.05</v>
      </c>
    </row>
    <row r="111" customFormat="false" ht="15.75" hidden="false" customHeight="true" outlineLevel="0" collapsed="false">
      <c r="A111" s="4" t="n">
        <v>45553</v>
      </c>
      <c r="B111" s="3" t="n">
        <v>0</v>
      </c>
      <c r="C111" s="3" t="n">
        <v>3.6</v>
      </c>
      <c r="D111" s="3" t="n">
        <v>106.7</v>
      </c>
      <c r="E111" s="3" t="n">
        <v>53.35</v>
      </c>
    </row>
    <row r="112" customFormat="false" ht="15.75" hidden="false" customHeight="true" outlineLevel="0" collapsed="false">
      <c r="A112" s="4" t="n">
        <v>45554</v>
      </c>
      <c r="B112" s="3" t="n">
        <v>0</v>
      </c>
      <c r="C112" s="3" t="n">
        <v>3.3</v>
      </c>
      <c r="D112" s="3" t="n">
        <v>107.2</v>
      </c>
      <c r="E112" s="3" t="n">
        <v>53.6</v>
      </c>
    </row>
    <row r="113" customFormat="false" ht="15.75" hidden="false" customHeight="true" outlineLevel="0" collapsed="false">
      <c r="A113" s="4" t="n">
        <v>45555</v>
      </c>
      <c r="B113" s="3" t="n">
        <v>0</v>
      </c>
      <c r="C113" s="3" t="n">
        <v>4</v>
      </c>
      <c r="D113" s="3" t="n">
        <v>107.7</v>
      </c>
      <c r="E113" s="3" t="n">
        <v>53.85</v>
      </c>
    </row>
    <row r="114" customFormat="false" ht="15.75" hidden="false" customHeight="true" outlineLevel="0" collapsed="false">
      <c r="A114" s="4" t="n">
        <v>45556</v>
      </c>
      <c r="B114" s="3" t="n">
        <v>0</v>
      </c>
      <c r="C114" s="3" t="n">
        <v>4.3</v>
      </c>
      <c r="D114" s="3" t="n">
        <v>108.3</v>
      </c>
      <c r="E114" s="3" t="n">
        <v>54.15</v>
      </c>
    </row>
    <row r="115" customFormat="false" ht="15.75" hidden="false" customHeight="true" outlineLevel="0" collapsed="false">
      <c r="A115" s="4" t="n">
        <v>45557</v>
      </c>
      <c r="B115" s="3" t="n">
        <v>0</v>
      </c>
      <c r="C115" s="3" t="n">
        <v>3.7</v>
      </c>
      <c r="D115" s="3" t="n">
        <v>108.8</v>
      </c>
      <c r="E115" s="3" t="n">
        <v>54.4</v>
      </c>
    </row>
    <row r="116" customFormat="false" ht="15.75" hidden="false" customHeight="true" outlineLevel="0" collapsed="false">
      <c r="A116" s="4" t="n">
        <v>45558</v>
      </c>
      <c r="B116" s="3" t="n">
        <v>0</v>
      </c>
      <c r="C116" s="3" t="n">
        <v>3.5</v>
      </c>
      <c r="D116" s="3" t="n">
        <v>109.3</v>
      </c>
      <c r="E116" s="3" t="n">
        <v>54.65</v>
      </c>
    </row>
    <row r="117" customFormat="false" ht="15.75" hidden="false" customHeight="true" outlineLevel="0" collapsed="false">
      <c r="A117" s="4" t="n">
        <v>45559</v>
      </c>
      <c r="B117" s="3" t="n">
        <v>0</v>
      </c>
      <c r="C117" s="3" t="n">
        <v>5</v>
      </c>
      <c r="D117" s="3" t="n">
        <v>109.9</v>
      </c>
      <c r="E117" s="3" t="n">
        <v>54.95</v>
      </c>
    </row>
    <row r="118" customFormat="false" ht="15.75" hidden="false" customHeight="true" outlineLevel="0" collapsed="false">
      <c r="A118" s="4" t="n">
        <v>45560</v>
      </c>
      <c r="B118" s="3" t="n">
        <v>0</v>
      </c>
      <c r="C118" s="3" t="n">
        <v>4.1</v>
      </c>
      <c r="D118" s="3" t="n">
        <v>110.4</v>
      </c>
      <c r="E118" s="3" t="n">
        <v>55.2</v>
      </c>
    </row>
    <row r="119" customFormat="false" ht="15.75" hidden="false" customHeight="true" outlineLevel="0" collapsed="false">
      <c r="A119" s="4" t="n">
        <v>45561</v>
      </c>
      <c r="B119" s="3" t="n">
        <v>0</v>
      </c>
      <c r="C119" s="3" t="n">
        <v>3.5</v>
      </c>
      <c r="D119" s="3" t="n">
        <v>110.9</v>
      </c>
      <c r="E119" s="3" t="n">
        <v>55.45</v>
      </c>
    </row>
    <row r="120" customFormat="false" ht="15.75" hidden="false" customHeight="true" outlineLevel="0" collapsed="false">
      <c r="A120" s="4" t="n">
        <v>45562</v>
      </c>
      <c r="B120" s="3" t="n">
        <v>0</v>
      </c>
      <c r="C120" s="3" t="n">
        <v>4.1</v>
      </c>
      <c r="D120" s="3" t="n">
        <v>111.5</v>
      </c>
      <c r="E120" s="3" t="n">
        <v>55.75</v>
      </c>
    </row>
    <row r="121" customFormat="false" ht="15.75" hidden="false" customHeight="true" outlineLevel="0" collapsed="false">
      <c r="A121" s="4" t="n">
        <v>45563</v>
      </c>
      <c r="B121" s="3" t="n">
        <v>0</v>
      </c>
      <c r="C121" s="3" t="n">
        <v>4.8</v>
      </c>
      <c r="D121" s="3" t="n">
        <v>112</v>
      </c>
      <c r="E121" s="3" t="n">
        <v>56</v>
      </c>
    </row>
    <row r="122" customFormat="false" ht="15.75" hidden="false" customHeight="true" outlineLevel="0" collapsed="false">
      <c r="A122" s="4" t="n">
        <v>45564</v>
      </c>
      <c r="B122" s="3" t="n">
        <v>0</v>
      </c>
      <c r="C122" s="3" t="n">
        <v>3.3</v>
      </c>
      <c r="D122" s="3" t="n">
        <v>112.5</v>
      </c>
      <c r="E122" s="3" t="n">
        <v>56.25</v>
      </c>
    </row>
    <row r="123" customFormat="false" ht="15.75" hidden="false" customHeight="true" outlineLevel="0" collapsed="false">
      <c r="A123" s="4" t="n">
        <v>45565</v>
      </c>
      <c r="B123" s="3" t="n">
        <v>0</v>
      </c>
      <c r="C123" s="3" t="n">
        <v>4.6</v>
      </c>
      <c r="D123" s="3" t="n">
        <v>113.1</v>
      </c>
      <c r="E123" s="3" t="n">
        <v>56.55</v>
      </c>
    </row>
    <row r="124" customFormat="false" ht="15.75" hidden="false" customHeight="true" outlineLevel="0" collapsed="false">
      <c r="A124" s="4" t="n">
        <v>45566</v>
      </c>
      <c r="B124" s="3" t="n">
        <v>0</v>
      </c>
      <c r="C124" s="3" t="n">
        <v>4.8</v>
      </c>
      <c r="D124" s="3" t="n">
        <v>113.6</v>
      </c>
      <c r="E124" s="3" t="n">
        <v>56.8</v>
      </c>
    </row>
    <row r="125" customFormat="false" ht="15.75" hidden="false" customHeight="true" outlineLevel="0" collapsed="false">
      <c r="A125" s="4" t="n">
        <v>45567</v>
      </c>
      <c r="B125" s="3" t="n">
        <v>0</v>
      </c>
      <c r="C125" s="3" t="n">
        <v>3.9</v>
      </c>
      <c r="D125" s="3" t="n">
        <v>114.1</v>
      </c>
      <c r="E125" s="3" t="n">
        <v>57.05</v>
      </c>
    </row>
    <row r="126" customFormat="false" ht="15.75" hidden="false" customHeight="true" outlineLevel="0" collapsed="false">
      <c r="A126" s="4" t="n">
        <v>45568</v>
      </c>
      <c r="B126" s="3" t="n">
        <v>22</v>
      </c>
      <c r="C126" s="3" t="n">
        <v>4.7</v>
      </c>
      <c r="D126" s="3" t="n">
        <v>114.7</v>
      </c>
      <c r="E126" s="3" t="n">
        <v>57.35</v>
      </c>
    </row>
    <row r="127" customFormat="false" ht="15.75" hidden="false" customHeight="true" outlineLevel="0" collapsed="false">
      <c r="A127" s="4" t="n">
        <v>45569</v>
      </c>
      <c r="B127" s="3" t="n">
        <v>1.9</v>
      </c>
      <c r="C127" s="3" t="n">
        <v>5.6</v>
      </c>
      <c r="D127" s="3" t="n">
        <v>115.2</v>
      </c>
      <c r="E127" s="3" t="n">
        <v>57.6</v>
      </c>
    </row>
    <row r="128" customFormat="false" ht="15.75" hidden="false" customHeight="true" outlineLevel="0" collapsed="false">
      <c r="A128" s="4" t="n">
        <v>45570</v>
      </c>
      <c r="B128" s="3" t="n">
        <v>0</v>
      </c>
      <c r="C128" s="3" t="n">
        <v>4.5</v>
      </c>
      <c r="D128" s="3" t="n">
        <v>115.7</v>
      </c>
      <c r="E128" s="3" t="n">
        <v>57.85</v>
      </c>
    </row>
    <row r="129" customFormat="false" ht="15.75" hidden="false" customHeight="true" outlineLevel="0" collapsed="false">
      <c r="A129" s="4" t="n">
        <v>45571</v>
      </c>
      <c r="B129" s="3" t="n">
        <v>0</v>
      </c>
      <c r="C129" s="3" t="n">
        <v>4.3</v>
      </c>
      <c r="D129" s="3" t="n">
        <v>116.3</v>
      </c>
      <c r="E129" s="3" t="n">
        <v>58.15</v>
      </c>
    </row>
    <row r="130" customFormat="false" ht="15.75" hidden="false" customHeight="true" outlineLevel="0" collapsed="false">
      <c r="A130" s="4" t="n">
        <v>45572</v>
      </c>
      <c r="B130" s="3" t="n">
        <v>0</v>
      </c>
      <c r="C130" s="3" t="n">
        <v>4.4</v>
      </c>
      <c r="D130" s="3" t="n">
        <v>116.8</v>
      </c>
      <c r="E130" s="3" t="n">
        <v>58.4</v>
      </c>
    </row>
    <row r="131" customFormat="false" ht="15.75" hidden="false" customHeight="true" outlineLevel="0" collapsed="false">
      <c r="A131" s="4" t="n">
        <v>45573</v>
      </c>
      <c r="B131" s="3" t="n">
        <v>1.6</v>
      </c>
      <c r="C131" s="3" t="n">
        <v>5.3</v>
      </c>
      <c r="D131" s="3" t="n">
        <v>117.3</v>
      </c>
      <c r="E131" s="3" t="n">
        <v>58.65</v>
      </c>
    </row>
    <row r="132" customFormat="false" ht="15.75" hidden="false" customHeight="true" outlineLevel="0" collapsed="false">
      <c r="A132" s="4" t="n">
        <v>45574</v>
      </c>
      <c r="B132" s="3" t="n">
        <v>0</v>
      </c>
      <c r="C132" s="3" t="n">
        <v>4.7</v>
      </c>
      <c r="D132" s="3" t="n">
        <v>117.9</v>
      </c>
      <c r="E132" s="3" t="n">
        <v>58.95</v>
      </c>
    </row>
    <row r="133" customFormat="false" ht="15.75" hidden="false" customHeight="true" outlineLevel="0" collapsed="false">
      <c r="A133" s="4" t="n">
        <v>45575</v>
      </c>
      <c r="B133" s="3" t="n">
        <v>0</v>
      </c>
      <c r="C133" s="3" t="n">
        <v>5.1</v>
      </c>
      <c r="D133" s="3" t="n">
        <v>118.4</v>
      </c>
      <c r="E133" s="3" t="n">
        <v>59.2</v>
      </c>
    </row>
    <row r="134" customFormat="false" ht="15.75" hidden="false" customHeight="true" outlineLevel="0" collapsed="false">
      <c r="A134" s="4" t="n">
        <v>45576</v>
      </c>
      <c r="B134" s="3" t="n">
        <v>0</v>
      </c>
      <c r="C134" s="3" t="n">
        <v>5.3</v>
      </c>
      <c r="D134" s="3" t="n">
        <v>118.9</v>
      </c>
      <c r="E134" s="3" t="n">
        <v>59.45</v>
      </c>
    </row>
    <row r="135" customFormat="false" ht="15.75" hidden="false" customHeight="true" outlineLevel="0" collapsed="false">
      <c r="A135" s="4" t="n">
        <v>45577</v>
      </c>
      <c r="B135" s="3" t="n">
        <v>0</v>
      </c>
      <c r="C135" s="3" t="n">
        <v>4.9</v>
      </c>
      <c r="D135" s="3" t="n">
        <v>119.5</v>
      </c>
      <c r="E135" s="3" t="n">
        <v>59.75</v>
      </c>
    </row>
    <row r="136" customFormat="false" ht="15.75" hidden="false" customHeight="true" outlineLevel="0" collapsed="false">
      <c r="A136" s="4" t="n">
        <v>45578</v>
      </c>
      <c r="B136" s="3" t="n">
        <v>0</v>
      </c>
      <c r="C136" s="3" t="n">
        <v>4.2</v>
      </c>
      <c r="D136" s="3" t="n">
        <v>120</v>
      </c>
      <c r="E136" s="3" t="n">
        <v>60</v>
      </c>
    </row>
    <row r="137" customFormat="false" ht="15.75" hidden="false" customHeight="true" outlineLevel="0" collapsed="false">
      <c r="A137" s="4" t="n">
        <v>45579</v>
      </c>
      <c r="B137" s="3" t="n">
        <v>10.1</v>
      </c>
      <c r="C137" s="3" t="n">
        <v>4.6</v>
      </c>
      <c r="D137" s="3" t="n">
        <v>120.5</v>
      </c>
      <c r="E137" s="3" t="n">
        <v>60.25</v>
      </c>
    </row>
    <row r="138" customFormat="false" ht="15.75" hidden="false" customHeight="true" outlineLevel="0" collapsed="false">
      <c r="A138" s="4" t="n">
        <v>45580</v>
      </c>
      <c r="B138" s="3" t="n">
        <v>0</v>
      </c>
      <c r="C138" s="3" t="n">
        <v>4</v>
      </c>
      <c r="D138" s="3" t="n">
        <v>121.1</v>
      </c>
      <c r="E138" s="3" t="n">
        <v>60.55</v>
      </c>
    </row>
    <row r="139" customFormat="false" ht="15.75" hidden="false" customHeight="true" outlineLevel="0" collapsed="false">
      <c r="A139" s="4" t="n">
        <v>45581</v>
      </c>
      <c r="B139" s="3" t="n">
        <v>0</v>
      </c>
      <c r="C139" s="3" t="n">
        <v>4.4</v>
      </c>
      <c r="D139" s="3" t="n">
        <v>121.6</v>
      </c>
      <c r="E139" s="3" t="n">
        <v>60.8</v>
      </c>
    </row>
    <row r="140" customFormat="false" ht="15.75" hidden="false" customHeight="true" outlineLevel="0" collapsed="false">
      <c r="A140" s="4" t="n">
        <v>45582</v>
      </c>
      <c r="B140" s="3" t="n">
        <v>0</v>
      </c>
      <c r="C140" s="3" t="n">
        <v>4.5</v>
      </c>
      <c r="D140" s="3" t="n">
        <v>122.1</v>
      </c>
      <c r="E140" s="3" t="n">
        <v>61.05</v>
      </c>
    </row>
    <row r="141" customFormat="false" ht="15.75" hidden="false" customHeight="true" outlineLevel="0" collapsed="false">
      <c r="A141" s="4" t="n">
        <v>45583</v>
      </c>
      <c r="B141" s="3" t="n">
        <v>0</v>
      </c>
      <c r="C141" s="3" t="n">
        <v>4.8</v>
      </c>
      <c r="D141" s="3" t="n">
        <v>122.7</v>
      </c>
      <c r="E141" s="3" t="n">
        <v>61.35</v>
      </c>
    </row>
    <row r="142" customFormat="false" ht="15.75" hidden="false" customHeight="true" outlineLevel="0" collapsed="false">
      <c r="A142" s="4" t="n">
        <v>45584</v>
      </c>
      <c r="B142" s="3" t="n">
        <v>12.1</v>
      </c>
      <c r="C142" s="3" t="n">
        <v>5.1</v>
      </c>
      <c r="D142" s="3" t="n">
        <v>123.2</v>
      </c>
      <c r="E142" s="3" t="n">
        <v>61.6</v>
      </c>
    </row>
    <row r="143" customFormat="false" ht="15.75" hidden="false" customHeight="true" outlineLevel="0" collapsed="false">
      <c r="A143" s="4" t="n">
        <v>45585</v>
      </c>
      <c r="B143" s="3" t="n">
        <v>39.6</v>
      </c>
      <c r="C143" s="3" t="n">
        <v>5</v>
      </c>
      <c r="D143" s="3" t="n">
        <v>123.7</v>
      </c>
      <c r="E143" s="3" t="n">
        <v>61.85</v>
      </c>
    </row>
    <row r="144" customFormat="false" ht="15.75" hidden="false" customHeight="true" outlineLevel="0" collapsed="false">
      <c r="A144" s="4" t="n">
        <v>45586</v>
      </c>
      <c r="B144" s="3" t="n">
        <v>0</v>
      </c>
      <c r="C144" s="3" t="n">
        <v>4.8</v>
      </c>
      <c r="D144" s="3" t="n">
        <v>124.3</v>
      </c>
      <c r="E144" s="3" t="n">
        <v>62.15</v>
      </c>
    </row>
    <row r="145" customFormat="false" ht="15.75" hidden="false" customHeight="true" outlineLevel="0" collapsed="false">
      <c r="A145" s="4" t="n">
        <v>45587</v>
      </c>
      <c r="B145" s="3" t="n">
        <v>0</v>
      </c>
      <c r="C145" s="3" t="n">
        <v>5.4</v>
      </c>
      <c r="D145" s="3" t="n">
        <v>124.8</v>
      </c>
      <c r="E145" s="3" t="n">
        <v>62.4</v>
      </c>
    </row>
    <row r="146" customFormat="false" ht="15.75" hidden="false" customHeight="true" outlineLevel="0" collapsed="false">
      <c r="A146" s="4" t="n">
        <v>45588</v>
      </c>
      <c r="B146" s="3" t="n">
        <v>0</v>
      </c>
      <c r="C146" s="3" t="n">
        <v>5</v>
      </c>
      <c r="D146" s="3" t="n">
        <v>125.3</v>
      </c>
      <c r="E146" s="3" t="n">
        <v>62.65</v>
      </c>
    </row>
    <row r="147" customFormat="false" ht="15.75" hidden="false" customHeight="true" outlineLevel="0" collapsed="false">
      <c r="A147" s="4" t="n">
        <v>45589</v>
      </c>
      <c r="B147" s="3" t="n">
        <v>0</v>
      </c>
      <c r="C147" s="3" t="n">
        <v>5.9</v>
      </c>
      <c r="D147" s="3" t="n">
        <v>125.9</v>
      </c>
      <c r="E147" s="3" t="n">
        <v>62.95</v>
      </c>
    </row>
    <row r="148" customFormat="false" ht="15.75" hidden="false" customHeight="true" outlineLevel="0" collapsed="false">
      <c r="A148" s="4" t="n">
        <v>45590</v>
      </c>
      <c r="B148" s="3" t="n">
        <v>8.2</v>
      </c>
      <c r="C148" s="3" t="n">
        <v>5</v>
      </c>
      <c r="D148" s="3" t="n">
        <v>126.4</v>
      </c>
      <c r="E148" s="3" t="n">
        <v>63.2</v>
      </c>
    </row>
    <row r="149" customFormat="false" ht="15.75" hidden="false" customHeight="true" outlineLevel="0" collapsed="false">
      <c r="A149" s="4" t="n">
        <v>45591</v>
      </c>
      <c r="B149" s="3" t="n">
        <v>28.2</v>
      </c>
      <c r="C149" s="3" t="n">
        <v>5.6</v>
      </c>
      <c r="D149" s="3" t="n">
        <v>126.9</v>
      </c>
      <c r="E149" s="3" t="n">
        <v>63.45</v>
      </c>
    </row>
    <row r="150" customFormat="false" ht="15.75" hidden="false" customHeight="true" outlineLevel="0" collapsed="false">
      <c r="A150" s="4" t="n">
        <v>45592</v>
      </c>
      <c r="B150" s="3" t="n">
        <v>3.2</v>
      </c>
      <c r="C150" s="3" t="n">
        <v>5.7</v>
      </c>
      <c r="D150" s="3" t="n">
        <v>127.5</v>
      </c>
      <c r="E150" s="3" t="n">
        <v>63.75</v>
      </c>
    </row>
    <row r="151" customFormat="false" ht="15.75" hidden="false" customHeight="true" outlineLevel="0" collapsed="false">
      <c r="A151" s="4" t="n">
        <v>45593</v>
      </c>
      <c r="B151" s="3" t="n">
        <v>0</v>
      </c>
      <c r="C151" s="3" t="n">
        <v>6</v>
      </c>
      <c r="D151" s="3" t="n">
        <v>128</v>
      </c>
      <c r="E151" s="3" t="n">
        <v>64</v>
      </c>
    </row>
    <row r="152" customFormat="false" ht="15.75" hidden="false" customHeight="true" outlineLevel="0" collapsed="false">
      <c r="A152" s="4" t="n">
        <v>45594</v>
      </c>
      <c r="B152" s="3" t="n">
        <v>0</v>
      </c>
      <c r="C152" s="3" t="n">
        <v>5.6</v>
      </c>
      <c r="D152" s="3" t="n">
        <v>128.5</v>
      </c>
      <c r="E152" s="3" t="n">
        <v>64.25</v>
      </c>
    </row>
    <row r="153" customFormat="false" ht="15.75" hidden="false" customHeight="true" outlineLevel="0" collapsed="false">
      <c r="A153" s="4" t="n">
        <v>45595</v>
      </c>
      <c r="B153" s="3" t="n">
        <v>0</v>
      </c>
      <c r="C153" s="3" t="n">
        <v>5.5</v>
      </c>
      <c r="D153" s="3" t="n">
        <v>129.1</v>
      </c>
      <c r="E153" s="3" t="n">
        <v>64.55</v>
      </c>
    </row>
    <row r="154" customFormat="false" ht="15.75" hidden="false" customHeight="true" outlineLevel="0" collapsed="false">
      <c r="A154" s="4" t="n">
        <v>45596</v>
      </c>
      <c r="B154" s="3" t="n">
        <v>0</v>
      </c>
      <c r="C154" s="3" t="n">
        <v>5.5</v>
      </c>
      <c r="D154" s="3" t="n">
        <v>129.6</v>
      </c>
      <c r="E154" s="3" t="n">
        <v>64.8</v>
      </c>
    </row>
    <row r="155" customFormat="false" ht="15.75" hidden="false" customHeight="true" outlineLevel="0" collapsed="false">
      <c r="A155" s="4" t="n">
        <v>45597</v>
      </c>
      <c r="B155" s="3" t="n">
        <v>0</v>
      </c>
      <c r="C155" s="3" t="n">
        <v>3.9</v>
      </c>
      <c r="D155" s="3" t="n">
        <v>130.1</v>
      </c>
      <c r="E155" s="3" t="n">
        <v>65.05</v>
      </c>
    </row>
    <row r="156" customFormat="false" ht="15.75" hidden="false" customHeight="true" outlineLevel="0" collapsed="false">
      <c r="A156" s="4" t="n">
        <v>45598</v>
      </c>
      <c r="B156" s="3" t="n">
        <v>57</v>
      </c>
      <c r="C156" s="3" t="n">
        <v>4.5</v>
      </c>
      <c r="D156" s="3" t="n">
        <v>130.7</v>
      </c>
      <c r="E156" s="3" t="n">
        <v>65.35</v>
      </c>
    </row>
    <row r="157" customFormat="false" ht="15.75" hidden="false" customHeight="true" outlineLevel="0" collapsed="false">
      <c r="A157" s="4" t="n">
        <v>45599</v>
      </c>
      <c r="B157" s="3" t="n">
        <v>0</v>
      </c>
      <c r="C157" s="3" t="n">
        <v>4.9</v>
      </c>
      <c r="D157" s="3" t="n">
        <v>131.2</v>
      </c>
      <c r="E157" s="3" t="n">
        <v>65.6</v>
      </c>
    </row>
    <row r="158" customFormat="false" ht="15.75" hidden="false" customHeight="true" outlineLevel="0" collapsed="false">
      <c r="A158" s="4" t="n">
        <v>45600</v>
      </c>
      <c r="B158" s="3" t="n">
        <v>0</v>
      </c>
      <c r="C158" s="3" t="n">
        <v>4.7</v>
      </c>
      <c r="D158" s="3" t="n">
        <v>131.7</v>
      </c>
      <c r="E158" s="3" t="n">
        <v>65.85</v>
      </c>
    </row>
    <row r="159" customFormat="false" ht="15.75" hidden="false" customHeight="true" outlineLevel="0" collapsed="false">
      <c r="A159" s="4" t="n">
        <v>45601</v>
      </c>
      <c r="B159" s="3" t="n">
        <v>0</v>
      </c>
      <c r="C159" s="3" t="n">
        <v>4</v>
      </c>
      <c r="D159" s="3" t="n">
        <v>132.3</v>
      </c>
      <c r="E159" s="3" t="n">
        <v>66.15</v>
      </c>
    </row>
    <row r="160" customFormat="false" ht="15.75" hidden="false" customHeight="true" outlineLevel="0" collapsed="false">
      <c r="A160" s="4" t="n">
        <v>45602</v>
      </c>
      <c r="B160" s="3" t="n">
        <v>0</v>
      </c>
      <c r="C160" s="3" t="n">
        <v>4.6</v>
      </c>
      <c r="D160" s="3" t="n">
        <v>132.8</v>
      </c>
      <c r="E160" s="3" t="n">
        <v>66.4</v>
      </c>
    </row>
    <row r="161" customFormat="false" ht="15.75" hidden="false" customHeight="true" outlineLevel="0" collapsed="false">
      <c r="A161" s="4" t="n">
        <v>45603</v>
      </c>
      <c r="B161" s="3" t="n">
        <v>0</v>
      </c>
      <c r="C161" s="3" t="n">
        <v>4.1</v>
      </c>
      <c r="D161" s="3" t="n">
        <v>133.3</v>
      </c>
      <c r="E161" s="3" t="n">
        <v>66.65</v>
      </c>
    </row>
    <row r="162" customFormat="false" ht="15.75" hidden="false" customHeight="true" outlineLevel="0" collapsed="false">
      <c r="A162" s="4" t="n">
        <v>45604</v>
      </c>
      <c r="B162" s="3" t="n">
        <v>0</v>
      </c>
      <c r="C162" s="3" t="n">
        <v>3.8</v>
      </c>
      <c r="D162" s="3" t="n">
        <v>133.9</v>
      </c>
      <c r="E162" s="3" t="n">
        <v>66.95</v>
      </c>
    </row>
    <row r="163" customFormat="false" ht="15.75" hidden="false" customHeight="true" outlineLevel="0" collapsed="false">
      <c r="A163" s="4" t="n">
        <v>45605</v>
      </c>
      <c r="B163" s="3" t="n">
        <v>0</v>
      </c>
      <c r="C163" s="3" t="n">
        <v>4.8</v>
      </c>
      <c r="D163" s="3" t="n">
        <v>134.4</v>
      </c>
      <c r="E163" s="3" t="n">
        <v>67.2</v>
      </c>
    </row>
    <row r="164" customFormat="false" ht="15.75" hidden="false" customHeight="true" outlineLevel="0" collapsed="false">
      <c r="A164" s="4" t="n">
        <v>45606</v>
      </c>
      <c r="B164" s="3" t="n">
        <v>4</v>
      </c>
      <c r="C164" s="3" t="n">
        <v>4.4</v>
      </c>
      <c r="D164" s="3" t="n">
        <v>134.9</v>
      </c>
      <c r="E164" s="3" t="n">
        <v>67.45</v>
      </c>
    </row>
    <row r="165" customFormat="false" ht="15.75" hidden="false" customHeight="true" outlineLevel="0" collapsed="false">
      <c r="A165" s="4" t="n">
        <v>45607</v>
      </c>
      <c r="B165" s="3" t="n">
        <v>10.4</v>
      </c>
      <c r="C165" s="3" t="n">
        <v>5.1</v>
      </c>
      <c r="D165" s="3" t="n">
        <v>135.5</v>
      </c>
      <c r="E165" s="3" t="n">
        <v>67.75</v>
      </c>
    </row>
    <row r="166" customFormat="false" ht="15.75" hidden="false" customHeight="true" outlineLevel="0" collapsed="false">
      <c r="A166" s="4" t="n">
        <v>45608</v>
      </c>
      <c r="B166" s="3" t="n">
        <v>0</v>
      </c>
      <c r="C166" s="3" t="n">
        <v>4.8</v>
      </c>
      <c r="D166" s="3" t="n">
        <v>136</v>
      </c>
      <c r="E166" s="3" t="n">
        <v>68</v>
      </c>
    </row>
    <row r="167" customFormat="false" ht="15.75" hidden="false" customHeight="true" outlineLevel="0" collapsed="false">
      <c r="A167" s="4" t="n">
        <v>45609</v>
      </c>
      <c r="B167" s="3" t="n">
        <v>0</v>
      </c>
      <c r="C167" s="3" t="n">
        <v>4.3</v>
      </c>
      <c r="D167" s="3" t="n">
        <v>136.5</v>
      </c>
      <c r="E167" s="3" t="n">
        <v>68.25</v>
      </c>
    </row>
    <row r="168" customFormat="false" ht="15.75" hidden="false" customHeight="true" outlineLevel="0" collapsed="false">
      <c r="A168" s="4" t="n">
        <v>45610</v>
      </c>
      <c r="B168" s="3" t="n">
        <v>5.7</v>
      </c>
      <c r="C168" s="3" t="n">
        <v>4.8</v>
      </c>
      <c r="D168" s="3" t="n">
        <v>137.1</v>
      </c>
      <c r="E168" s="3" t="n">
        <v>68.55</v>
      </c>
    </row>
    <row r="169" customFormat="false" ht="15.75" hidden="false" customHeight="true" outlineLevel="0" collapsed="false">
      <c r="A169" s="4" t="n">
        <v>45611</v>
      </c>
      <c r="B169" s="3" t="n">
        <v>4.6</v>
      </c>
      <c r="C169" s="3" t="n">
        <v>5.4</v>
      </c>
      <c r="D169" s="3" t="n">
        <v>137.6</v>
      </c>
      <c r="E169" s="3" t="n">
        <v>68.8</v>
      </c>
    </row>
    <row r="170" customFormat="false" ht="15.75" hidden="false" customHeight="true" outlineLevel="0" collapsed="false">
      <c r="A170" s="4" t="n">
        <v>45612</v>
      </c>
      <c r="B170" s="3" t="n">
        <v>1.4</v>
      </c>
      <c r="C170" s="3" t="n">
        <v>5</v>
      </c>
      <c r="D170" s="3" t="n">
        <v>138.1</v>
      </c>
      <c r="E170" s="3" t="n">
        <v>69.05</v>
      </c>
    </row>
    <row r="171" customFormat="false" ht="15.75" hidden="false" customHeight="true" outlineLevel="0" collapsed="false">
      <c r="A171" s="4" t="n">
        <v>45613</v>
      </c>
      <c r="B171" s="3" t="n">
        <v>0</v>
      </c>
      <c r="C171" s="3" t="n">
        <v>3.5</v>
      </c>
      <c r="D171" s="3" t="n">
        <v>138.7</v>
      </c>
      <c r="E171" s="3" t="n">
        <v>69.35</v>
      </c>
    </row>
    <row r="172" customFormat="false" ht="15.75" hidden="false" customHeight="true" outlineLevel="0" collapsed="false">
      <c r="A172" s="4" t="n">
        <v>45614</v>
      </c>
      <c r="B172" s="3" t="n">
        <v>2.3</v>
      </c>
      <c r="C172" s="3" t="n">
        <v>5.1</v>
      </c>
      <c r="D172" s="3" t="n">
        <v>139.2</v>
      </c>
      <c r="E172" s="3" t="n">
        <v>69.6</v>
      </c>
    </row>
    <row r="173" customFormat="false" ht="15.75" hidden="false" customHeight="true" outlineLevel="0" collapsed="false">
      <c r="A173" s="4" t="n">
        <v>45615</v>
      </c>
      <c r="B173" s="3" t="n">
        <v>12.5</v>
      </c>
      <c r="C173" s="3" t="n">
        <v>4.7</v>
      </c>
      <c r="D173" s="3" t="n">
        <v>139.7</v>
      </c>
      <c r="E173" s="3" t="n">
        <v>69.85</v>
      </c>
    </row>
    <row r="174" customFormat="false" ht="15.75" hidden="false" customHeight="true" outlineLevel="0" collapsed="false">
      <c r="A174" s="4" t="n">
        <v>45616</v>
      </c>
      <c r="B174" s="3" t="n">
        <v>0</v>
      </c>
      <c r="C174" s="3" t="n">
        <v>4</v>
      </c>
      <c r="D174" s="3" t="n">
        <v>140.3</v>
      </c>
      <c r="E174" s="3" t="n">
        <v>70.15</v>
      </c>
    </row>
    <row r="175" customFormat="false" ht="15.75" hidden="false" customHeight="true" outlineLevel="0" collapsed="false">
      <c r="A175" s="4" t="n">
        <v>45617</v>
      </c>
      <c r="B175" s="3" t="n">
        <v>0</v>
      </c>
      <c r="C175" s="3" t="n">
        <v>5.1</v>
      </c>
      <c r="D175" s="3" t="n">
        <v>140.8</v>
      </c>
      <c r="E175" s="3" t="n">
        <v>70.4</v>
      </c>
    </row>
    <row r="176" customFormat="false" ht="15.75" hidden="false" customHeight="true" outlineLevel="0" collapsed="false">
      <c r="A176" s="4" t="n">
        <v>45618</v>
      </c>
      <c r="B176" s="3" t="n">
        <v>0</v>
      </c>
      <c r="C176" s="3" t="n">
        <v>4.9</v>
      </c>
      <c r="D176" s="3" t="n">
        <v>141.3</v>
      </c>
      <c r="E176" s="3" t="n">
        <v>70.65</v>
      </c>
    </row>
    <row r="177" customFormat="false" ht="15.75" hidden="false" customHeight="true" outlineLevel="0" collapsed="false">
      <c r="A177" s="4" t="n">
        <v>45619</v>
      </c>
      <c r="B177" s="3" t="n">
        <v>0</v>
      </c>
      <c r="C177" s="3" t="n">
        <v>4.9</v>
      </c>
      <c r="D177" s="3" t="n">
        <v>141.9</v>
      </c>
      <c r="E177" s="3" t="n">
        <v>70.95</v>
      </c>
    </row>
    <row r="178" customFormat="false" ht="15.75" hidden="false" customHeight="true" outlineLevel="0" collapsed="false">
      <c r="A178" s="4" t="n">
        <v>45620</v>
      </c>
      <c r="B178" s="3" t="n">
        <v>0</v>
      </c>
      <c r="C178" s="3" t="n">
        <v>4.7</v>
      </c>
      <c r="D178" s="3" t="n">
        <v>142.4</v>
      </c>
      <c r="E178" s="3" t="n">
        <v>71.2</v>
      </c>
    </row>
    <row r="179" customFormat="false" ht="15.75" hidden="false" customHeight="true" outlineLevel="0" collapsed="false">
      <c r="A179" s="4" t="n">
        <v>45621</v>
      </c>
      <c r="B179" s="3" t="n">
        <v>0</v>
      </c>
      <c r="C179" s="3" t="n">
        <v>4.6</v>
      </c>
      <c r="D179" s="3" t="n">
        <v>142.9</v>
      </c>
      <c r="E179" s="3" t="n">
        <v>71.45</v>
      </c>
    </row>
    <row r="180" customFormat="false" ht="15.75" hidden="false" customHeight="true" outlineLevel="0" collapsed="false">
      <c r="A180" s="4" t="n">
        <v>45622</v>
      </c>
      <c r="B180" s="3" t="n">
        <v>15.8</v>
      </c>
      <c r="C180" s="3" t="n">
        <v>4.1</v>
      </c>
      <c r="D180" s="3" t="n">
        <v>143.5</v>
      </c>
      <c r="E180" s="3" t="n">
        <v>71.75</v>
      </c>
    </row>
    <row r="181" customFormat="false" ht="15.75" hidden="false" customHeight="true" outlineLevel="0" collapsed="false">
      <c r="A181" s="4" t="n">
        <v>45623</v>
      </c>
      <c r="B181" s="3" t="n">
        <v>12.5</v>
      </c>
      <c r="C181" s="3" t="n">
        <v>4.7</v>
      </c>
      <c r="D181" s="3" t="n">
        <v>144</v>
      </c>
      <c r="E181" s="3" t="n">
        <v>72</v>
      </c>
    </row>
    <row r="182" customFormat="false" ht="15.75" hidden="false" customHeight="true" outlineLevel="0" collapsed="false">
      <c r="A182" s="4" t="n">
        <v>45624</v>
      </c>
      <c r="B182" s="3" t="n">
        <v>0</v>
      </c>
      <c r="C182" s="3" t="n">
        <v>4.9</v>
      </c>
      <c r="D182" s="3" t="n">
        <v>144.5</v>
      </c>
      <c r="E182" s="3" t="n">
        <v>72.25</v>
      </c>
    </row>
    <row r="183" customFormat="false" ht="15.75" hidden="false" customHeight="true" outlineLevel="0" collapsed="false">
      <c r="A183" s="4" t="n">
        <v>45625</v>
      </c>
      <c r="B183" s="3" t="n">
        <v>0</v>
      </c>
      <c r="C183" s="3" t="n">
        <v>5.2</v>
      </c>
      <c r="D183" s="3" t="n">
        <v>145.1</v>
      </c>
      <c r="E183" s="3" t="n">
        <v>72.55</v>
      </c>
    </row>
    <row r="184" customFormat="false" ht="15.75" hidden="false" customHeight="true" outlineLevel="0" collapsed="false">
      <c r="A184" s="4" t="n">
        <v>45626</v>
      </c>
      <c r="B184" s="3" t="n">
        <v>0</v>
      </c>
      <c r="C184" s="3" t="n">
        <v>6.2</v>
      </c>
      <c r="D184" s="3" t="n">
        <v>145.6</v>
      </c>
      <c r="E184" s="3" t="n">
        <v>72.8</v>
      </c>
    </row>
    <row r="185" customFormat="false" ht="15.75" hidden="false" customHeight="true" outlineLevel="0" collapsed="false">
      <c r="A185" s="4" t="n">
        <v>45627</v>
      </c>
      <c r="B185" s="3" t="n">
        <v>0</v>
      </c>
      <c r="C185" s="3" t="n">
        <v>5.2</v>
      </c>
      <c r="D185" s="3" t="n">
        <v>146.1</v>
      </c>
      <c r="E185" s="3" t="n">
        <v>73.05</v>
      </c>
    </row>
    <row r="186" customFormat="false" ht="15.75" hidden="false" customHeight="true" outlineLevel="0" collapsed="false">
      <c r="A186" s="4" t="n">
        <v>45628</v>
      </c>
      <c r="B186" s="3" t="n">
        <v>0</v>
      </c>
      <c r="C186" s="3" t="n">
        <v>6.1</v>
      </c>
      <c r="D186" s="3" t="n">
        <v>146.7</v>
      </c>
      <c r="E186" s="3" t="n">
        <v>73.35</v>
      </c>
    </row>
    <row r="187" customFormat="false" ht="15.75" hidden="false" customHeight="true" outlineLevel="0" collapsed="false">
      <c r="A187" s="4" t="n">
        <v>45629</v>
      </c>
      <c r="B187" s="3" t="n">
        <v>6.8</v>
      </c>
      <c r="C187" s="3" t="n">
        <v>4.8</v>
      </c>
      <c r="D187" s="3" t="n">
        <v>147.2</v>
      </c>
      <c r="E187" s="3" t="n">
        <v>73.6</v>
      </c>
    </row>
    <row r="188" customFormat="false" ht="15.75" hidden="false" customHeight="true" outlineLevel="0" collapsed="false">
      <c r="A188" s="4" t="n">
        <v>45630</v>
      </c>
      <c r="B188" s="3" t="n">
        <v>0</v>
      </c>
      <c r="C188" s="3" t="n">
        <v>5.1</v>
      </c>
      <c r="D188" s="3" t="n">
        <v>147.7</v>
      </c>
      <c r="E188" s="3" t="n">
        <v>73.85</v>
      </c>
    </row>
    <row r="189" customFormat="false" ht="15.75" hidden="false" customHeight="true" outlineLevel="0" collapsed="false">
      <c r="A189" s="4" t="n">
        <v>45631</v>
      </c>
      <c r="B189" s="3" t="n">
        <v>0</v>
      </c>
      <c r="C189" s="3" t="n">
        <v>5.2</v>
      </c>
      <c r="D189" s="3" t="n">
        <v>148.3</v>
      </c>
      <c r="E189" s="3" t="n">
        <v>74.15</v>
      </c>
    </row>
    <row r="190" customFormat="false" ht="15.75" hidden="false" customHeight="true" outlineLevel="0" collapsed="false">
      <c r="A190" s="4" t="n">
        <v>45632</v>
      </c>
      <c r="B190" s="3" t="n">
        <v>0</v>
      </c>
      <c r="C190" s="3" t="n">
        <v>4.6</v>
      </c>
      <c r="D190" s="3" t="n">
        <v>148.8</v>
      </c>
      <c r="E190" s="3" t="n">
        <v>74.4</v>
      </c>
    </row>
    <row r="191" customFormat="false" ht="15.75" hidden="false" customHeight="true" outlineLevel="0" collapsed="false">
      <c r="A191" s="4" t="n">
        <v>45633</v>
      </c>
      <c r="B191" s="3" t="n">
        <v>32.2</v>
      </c>
      <c r="C191" s="3" t="n">
        <v>5</v>
      </c>
      <c r="D191" s="3" t="n">
        <v>149.3</v>
      </c>
      <c r="E191" s="3" t="n">
        <v>74.65</v>
      </c>
    </row>
    <row r="192" customFormat="false" ht="15.75" hidden="false" customHeight="true" outlineLevel="0" collapsed="false">
      <c r="A192" s="4" t="n">
        <v>45634</v>
      </c>
      <c r="B192" s="3" t="n">
        <v>0</v>
      </c>
      <c r="C192" s="3" t="n">
        <v>4.3</v>
      </c>
      <c r="D192" s="3" t="n">
        <v>149.9</v>
      </c>
      <c r="E192" s="3" t="n">
        <v>74.95</v>
      </c>
    </row>
    <row r="193" customFormat="false" ht="15.75" hidden="false" customHeight="true" outlineLevel="0" collapsed="false">
      <c r="A193" s="4" t="n">
        <v>45635</v>
      </c>
      <c r="B193" s="3" t="n">
        <v>0</v>
      </c>
      <c r="C193" s="3" t="n">
        <v>5.4</v>
      </c>
      <c r="D193" s="3" t="n">
        <v>150.4</v>
      </c>
      <c r="E193" s="3" t="n">
        <v>75.2</v>
      </c>
    </row>
    <row r="194" customFormat="false" ht="15.75" hidden="false" customHeight="true" outlineLevel="0" collapsed="false">
      <c r="A194" s="4" t="n">
        <v>45636</v>
      </c>
      <c r="B194" s="3" t="n">
        <v>31.8</v>
      </c>
      <c r="C194" s="3" t="n">
        <v>4.9</v>
      </c>
      <c r="D194" s="3" t="n">
        <v>150.9</v>
      </c>
      <c r="E194" s="3" t="n">
        <v>75.45</v>
      </c>
    </row>
    <row r="195" customFormat="false" ht="15.75" hidden="false" customHeight="true" outlineLevel="0" collapsed="false">
      <c r="A195" s="4" t="n">
        <v>45637</v>
      </c>
      <c r="B195" s="3" t="n">
        <v>0</v>
      </c>
      <c r="C195" s="3" t="n">
        <v>4.3</v>
      </c>
      <c r="D195" s="3" t="n">
        <v>151.5</v>
      </c>
      <c r="E195" s="3" t="n">
        <v>75.75</v>
      </c>
    </row>
    <row r="196" customFormat="false" ht="15.75" hidden="false" customHeight="true" outlineLevel="0" collapsed="false">
      <c r="A196" s="4" t="n">
        <v>45638</v>
      </c>
      <c r="B196" s="3" t="n">
        <v>0</v>
      </c>
      <c r="C196" s="3" t="n">
        <v>5.2</v>
      </c>
      <c r="D196" s="3" t="n">
        <v>152</v>
      </c>
      <c r="E196" s="3" t="n">
        <v>76</v>
      </c>
    </row>
    <row r="197" customFormat="false" ht="15.75" hidden="false" customHeight="true" outlineLevel="0" collapsed="false">
      <c r="A197" s="4" t="n">
        <v>45639</v>
      </c>
      <c r="B197" s="3" t="n">
        <v>4.9</v>
      </c>
      <c r="C197" s="3" t="n">
        <v>5.1</v>
      </c>
      <c r="D197" s="3" t="n">
        <v>152.5</v>
      </c>
      <c r="E197" s="3" t="n">
        <v>76.25</v>
      </c>
    </row>
    <row r="198" customFormat="false" ht="15.75" hidden="false" customHeight="true" outlineLevel="0" collapsed="false">
      <c r="A198" s="4" t="n">
        <v>45640</v>
      </c>
      <c r="B198" s="3" t="n">
        <v>2.2</v>
      </c>
      <c r="C198" s="3" t="n">
        <v>6.4</v>
      </c>
      <c r="D198" s="3" t="n">
        <v>153.1</v>
      </c>
      <c r="E198" s="3" t="n">
        <v>76.55</v>
      </c>
    </row>
    <row r="199" customFormat="false" ht="15.75" hidden="false" customHeight="true" outlineLevel="0" collapsed="false">
      <c r="A199" s="4" t="n">
        <v>45641</v>
      </c>
      <c r="B199" s="3" t="n">
        <v>0</v>
      </c>
      <c r="C199" s="3" t="n">
        <v>5.2</v>
      </c>
      <c r="D199" s="3" t="n">
        <v>153.6</v>
      </c>
      <c r="E199" s="3" t="n">
        <v>76.8</v>
      </c>
    </row>
    <row r="200" customFormat="false" ht="15.75" hidden="false" customHeight="true" outlineLevel="0" collapsed="false">
      <c r="A200" s="4" t="n">
        <v>45642</v>
      </c>
      <c r="B200" s="3" t="n">
        <v>7.9</v>
      </c>
      <c r="C200" s="3" t="n">
        <v>6.2</v>
      </c>
      <c r="D200" s="3" t="n">
        <v>154.1</v>
      </c>
      <c r="E200" s="3" t="n">
        <v>77.05</v>
      </c>
    </row>
    <row r="201" customFormat="false" ht="15.75" hidden="false" customHeight="true" outlineLevel="0" collapsed="false">
      <c r="A201" s="4" t="n">
        <v>45643</v>
      </c>
      <c r="B201" s="3" t="n">
        <v>0</v>
      </c>
      <c r="C201" s="3" t="n">
        <v>5.1</v>
      </c>
      <c r="D201" s="3" t="n">
        <v>154.7</v>
      </c>
      <c r="E201" s="3" t="n">
        <v>77.35</v>
      </c>
    </row>
    <row r="202" customFormat="false" ht="15.75" hidden="false" customHeight="true" outlineLevel="0" collapsed="false">
      <c r="A202" s="4" t="n">
        <v>45644</v>
      </c>
      <c r="B202" s="3" t="n">
        <v>19.3</v>
      </c>
      <c r="C202" s="3" t="n">
        <v>5.5</v>
      </c>
      <c r="D202" s="3" t="n">
        <v>155.2</v>
      </c>
      <c r="E202" s="3" t="n">
        <v>77.6</v>
      </c>
    </row>
    <row r="203" customFormat="false" ht="15.75" hidden="false" customHeight="true" outlineLevel="0" collapsed="false">
      <c r="A203" s="4" t="n">
        <v>45645</v>
      </c>
      <c r="B203" s="3" t="n">
        <v>20.9</v>
      </c>
      <c r="C203" s="3" t="n">
        <v>5</v>
      </c>
      <c r="D203" s="3" t="n">
        <v>155.7</v>
      </c>
      <c r="E203" s="3" t="n">
        <v>77.85</v>
      </c>
    </row>
    <row r="204" customFormat="false" ht="15.75" hidden="false" customHeight="true" outlineLevel="0" collapsed="false">
      <c r="A204" s="4" t="n">
        <v>45646</v>
      </c>
      <c r="B204" s="3" t="n">
        <v>0</v>
      </c>
      <c r="C204" s="3" t="n">
        <v>5</v>
      </c>
      <c r="D204" s="3" t="n">
        <v>156.3</v>
      </c>
      <c r="E204" s="3" t="n">
        <v>78.15</v>
      </c>
    </row>
    <row r="205" customFormat="false" ht="15.75" hidden="false" customHeight="true" outlineLevel="0" collapsed="false">
      <c r="A205" s="4" t="n">
        <v>45647</v>
      </c>
      <c r="B205" s="3" t="n">
        <v>11.5</v>
      </c>
      <c r="C205" s="3" t="n">
        <v>5.6</v>
      </c>
      <c r="D205" s="3" t="n">
        <v>156.8</v>
      </c>
      <c r="E205" s="3" t="n">
        <v>78.4</v>
      </c>
    </row>
    <row r="206" customFormat="false" ht="15.75" hidden="false" customHeight="true" outlineLevel="0" collapsed="false">
      <c r="A206" s="4" t="n">
        <v>45648</v>
      </c>
      <c r="B206" s="3" t="n">
        <v>0</v>
      </c>
      <c r="C206" s="3" t="n">
        <v>5.5</v>
      </c>
      <c r="D206" s="3" t="n">
        <v>157.3</v>
      </c>
      <c r="E206" s="3" t="n">
        <v>78.65</v>
      </c>
    </row>
    <row r="207" customFormat="false" ht="15.75" hidden="false" customHeight="true" outlineLevel="0" collapsed="false">
      <c r="A207" s="4" t="n">
        <v>45649</v>
      </c>
      <c r="B207" s="3" t="n">
        <v>0</v>
      </c>
      <c r="C207" s="3" t="n">
        <v>5.4</v>
      </c>
      <c r="D207" s="3" t="n">
        <v>157.9</v>
      </c>
      <c r="E207" s="3" t="n">
        <v>78.95</v>
      </c>
    </row>
    <row r="208" customFormat="false" ht="15.75" hidden="false" customHeight="true" outlineLevel="0" collapsed="false">
      <c r="A208" s="4" t="n">
        <v>45650</v>
      </c>
      <c r="B208" s="3" t="n">
        <v>28.9</v>
      </c>
      <c r="C208" s="3" t="n">
        <v>4.7</v>
      </c>
      <c r="D208" s="3" t="n">
        <v>158.4</v>
      </c>
      <c r="E208" s="3" t="n">
        <v>79.2</v>
      </c>
    </row>
    <row r="209" customFormat="false" ht="15.75" hidden="false" customHeight="true" outlineLevel="0" collapsed="false">
      <c r="A209" s="4" t="n">
        <v>45651</v>
      </c>
      <c r="B209" s="3" t="n">
        <v>0</v>
      </c>
      <c r="C209" s="3" t="n">
        <v>6.1</v>
      </c>
      <c r="D209" s="3" t="n">
        <v>158.9</v>
      </c>
      <c r="E209" s="3" t="n">
        <v>79.45</v>
      </c>
    </row>
    <row r="210" customFormat="false" ht="15.75" hidden="false" customHeight="true" outlineLevel="0" collapsed="false">
      <c r="A210" s="4" t="n">
        <v>45652</v>
      </c>
      <c r="B210" s="3" t="n">
        <v>0</v>
      </c>
      <c r="C210" s="3" t="n">
        <v>6</v>
      </c>
      <c r="D210" s="3" t="n">
        <v>159.5</v>
      </c>
      <c r="E210" s="3" t="n">
        <v>79.75</v>
      </c>
    </row>
    <row r="211" customFormat="false" ht="15.75" hidden="false" customHeight="true" outlineLevel="0" collapsed="false">
      <c r="A211" s="4" t="n">
        <v>45653</v>
      </c>
      <c r="B211" s="3" t="n">
        <v>16.3</v>
      </c>
      <c r="C211" s="3" t="n">
        <v>4.3</v>
      </c>
      <c r="D211" s="3" t="n">
        <v>160</v>
      </c>
      <c r="E211" s="3" t="n">
        <v>80</v>
      </c>
    </row>
    <row r="212" customFormat="false" ht="15.75" hidden="false" customHeight="true" outlineLevel="0" collapsed="false">
      <c r="A212" s="4" t="n">
        <v>45654</v>
      </c>
      <c r="B212" s="3" t="n">
        <v>12.9</v>
      </c>
      <c r="C212" s="3" t="n">
        <v>5.7</v>
      </c>
      <c r="D212" s="3" t="n">
        <v>160</v>
      </c>
      <c r="E212" s="3" t="n">
        <v>80</v>
      </c>
    </row>
    <row r="213" customFormat="false" ht="15.75" hidden="false" customHeight="true" outlineLevel="0" collapsed="false">
      <c r="A213" s="4" t="n">
        <v>45655</v>
      </c>
      <c r="B213" s="3" t="n">
        <v>28</v>
      </c>
      <c r="C213" s="3" t="n">
        <v>6.3</v>
      </c>
      <c r="D213" s="3" t="n">
        <v>160</v>
      </c>
      <c r="E213" s="3" t="n">
        <v>80</v>
      </c>
    </row>
    <row r="214" customFormat="false" ht="15.75" hidden="false" customHeight="true" outlineLevel="0" collapsed="false">
      <c r="A214" s="4" t="n">
        <v>45656</v>
      </c>
      <c r="B214" s="3" t="n">
        <v>2.5</v>
      </c>
      <c r="C214" s="3" t="n">
        <v>4.7</v>
      </c>
      <c r="D214" s="3" t="n">
        <v>160</v>
      </c>
      <c r="E214" s="3" t="n">
        <v>80</v>
      </c>
    </row>
    <row r="215" customFormat="false" ht="15.75" hidden="false" customHeight="true" outlineLevel="0" collapsed="false">
      <c r="A215" s="4" t="n">
        <v>45657</v>
      </c>
      <c r="B215" s="3" t="n">
        <v>60</v>
      </c>
      <c r="C215" s="3" t="n">
        <v>6.1</v>
      </c>
      <c r="D215" s="3" t="n">
        <v>160</v>
      </c>
      <c r="E215" s="3" t="n">
        <v>80</v>
      </c>
    </row>
    <row r="216" customFormat="false" ht="15.75" hidden="false" customHeight="true" outlineLevel="0" collapsed="false">
      <c r="A216" s="4" t="n">
        <v>45658</v>
      </c>
      <c r="B216" s="3" t="n">
        <v>48.7</v>
      </c>
      <c r="C216" s="3" t="n">
        <v>5.9</v>
      </c>
      <c r="D216" s="3" t="n">
        <v>160</v>
      </c>
      <c r="E216" s="3" t="n">
        <v>80</v>
      </c>
    </row>
    <row r="217" customFormat="false" ht="15.75" hidden="false" customHeight="true" outlineLevel="0" collapsed="false">
      <c r="A217" s="4" t="n">
        <v>45659</v>
      </c>
      <c r="B217" s="3" t="n">
        <v>27</v>
      </c>
      <c r="C217" s="3" t="n">
        <v>5</v>
      </c>
      <c r="D217" s="3" t="n">
        <v>160</v>
      </c>
      <c r="E217" s="3" t="n">
        <v>80</v>
      </c>
    </row>
    <row r="218" customFormat="false" ht="15.75" hidden="false" customHeight="true" outlineLevel="0" collapsed="false">
      <c r="A218" s="4" t="n">
        <v>45660</v>
      </c>
      <c r="B218" s="3" t="n">
        <v>0</v>
      </c>
      <c r="C218" s="3" t="n">
        <v>5.3</v>
      </c>
      <c r="D218" s="3" t="n">
        <v>160</v>
      </c>
      <c r="E218" s="3" t="n">
        <v>80</v>
      </c>
    </row>
    <row r="219" customFormat="false" ht="15.75" hidden="false" customHeight="true" outlineLevel="0" collapsed="false">
      <c r="A219" s="4" t="n">
        <v>45661</v>
      </c>
      <c r="B219" s="3" t="n">
        <v>9</v>
      </c>
      <c r="C219" s="3" t="n">
        <v>5.5</v>
      </c>
      <c r="D219" s="3" t="n">
        <v>160</v>
      </c>
      <c r="E219" s="3" t="n">
        <v>80</v>
      </c>
    </row>
    <row r="220" customFormat="false" ht="15.75" hidden="false" customHeight="true" outlineLevel="0" collapsed="false">
      <c r="A220" s="4" t="n">
        <v>45662</v>
      </c>
      <c r="B220" s="3" t="n">
        <v>0</v>
      </c>
      <c r="C220" s="3" t="n">
        <v>5.6</v>
      </c>
      <c r="D220" s="3" t="n">
        <v>160</v>
      </c>
      <c r="E220" s="3" t="n">
        <v>80</v>
      </c>
    </row>
    <row r="221" customFormat="false" ht="15.75" hidden="false" customHeight="true" outlineLevel="0" collapsed="false">
      <c r="A221" s="4" t="n">
        <v>45663</v>
      </c>
      <c r="B221" s="3" t="n">
        <v>12.7</v>
      </c>
      <c r="C221" s="3" t="n">
        <v>6.1</v>
      </c>
      <c r="D221" s="3" t="n">
        <v>160</v>
      </c>
      <c r="E221" s="3" t="n">
        <v>80</v>
      </c>
    </row>
    <row r="222" customFormat="false" ht="15.75" hidden="false" customHeight="true" outlineLevel="0" collapsed="false">
      <c r="A222" s="4" t="n">
        <v>45664</v>
      </c>
      <c r="B222" s="3" t="n">
        <v>6</v>
      </c>
      <c r="C222" s="3" t="n">
        <v>6.8</v>
      </c>
      <c r="D222" s="3" t="n">
        <v>160</v>
      </c>
      <c r="E222" s="3" t="n">
        <v>80</v>
      </c>
    </row>
    <row r="223" customFormat="false" ht="15.75" hidden="false" customHeight="true" outlineLevel="0" collapsed="false">
      <c r="A223" s="4" t="n">
        <v>45665</v>
      </c>
      <c r="B223" s="3" t="n">
        <v>6.5</v>
      </c>
      <c r="C223" s="3" t="n">
        <v>5.7</v>
      </c>
      <c r="D223" s="3" t="n">
        <v>160</v>
      </c>
      <c r="E223" s="3" t="n">
        <v>80</v>
      </c>
    </row>
    <row r="224" customFormat="false" ht="15.75" hidden="false" customHeight="true" outlineLevel="0" collapsed="false">
      <c r="A224" s="4" t="n">
        <v>45666</v>
      </c>
      <c r="B224" s="3" t="n">
        <v>0</v>
      </c>
      <c r="C224" s="3" t="n">
        <v>4.3</v>
      </c>
      <c r="D224" s="3" t="n">
        <v>160</v>
      </c>
      <c r="E224" s="3" t="n">
        <v>80</v>
      </c>
    </row>
    <row r="225" customFormat="false" ht="15.75" hidden="false" customHeight="true" outlineLevel="0" collapsed="false">
      <c r="A225" s="4" t="n">
        <v>45667</v>
      </c>
      <c r="B225" s="3" t="n">
        <v>0</v>
      </c>
      <c r="C225" s="3" t="n">
        <v>5.6</v>
      </c>
      <c r="D225" s="3" t="n">
        <v>160</v>
      </c>
      <c r="E225" s="3" t="n">
        <v>80</v>
      </c>
    </row>
    <row r="226" customFormat="false" ht="15.75" hidden="false" customHeight="true" outlineLevel="0" collapsed="false">
      <c r="A226" s="4" t="n">
        <v>45668</v>
      </c>
      <c r="B226" s="3" t="n">
        <v>0</v>
      </c>
      <c r="C226" s="3" t="n">
        <v>6.5</v>
      </c>
      <c r="D226" s="3" t="n">
        <v>160</v>
      </c>
      <c r="E226" s="3" t="n">
        <v>80</v>
      </c>
    </row>
    <row r="227" customFormat="false" ht="15.75" hidden="false" customHeight="true" outlineLevel="0" collapsed="false">
      <c r="A227" s="4" t="n">
        <v>45669</v>
      </c>
      <c r="B227" s="3" t="n">
        <v>0</v>
      </c>
      <c r="C227" s="3" t="n">
        <v>6.8</v>
      </c>
      <c r="D227" s="3" t="n">
        <v>160</v>
      </c>
      <c r="E227" s="3" t="n">
        <v>80</v>
      </c>
    </row>
    <row r="228" customFormat="false" ht="15.75" hidden="false" customHeight="true" outlineLevel="0" collapsed="false">
      <c r="A228" s="4" t="n">
        <v>45670</v>
      </c>
      <c r="B228" s="3" t="n">
        <v>0</v>
      </c>
      <c r="C228" s="3" t="n">
        <v>5</v>
      </c>
      <c r="D228" s="3" t="n">
        <v>160</v>
      </c>
      <c r="E228" s="3" t="n">
        <v>80</v>
      </c>
    </row>
    <row r="229" customFormat="false" ht="15.75" hidden="false" customHeight="true" outlineLevel="0" collapsed="false">
      <c r="A229" s="4" t="n">
        <v>45671</v>
      </c>
      <c r="B229" s="3" t="n">
        <v>0</v>
      </c>
      <c r="C229" s="3" t="n">
        <v>6.2</v>
      </c>
      <c r="D229" s="3" t="n">
        <v>160</v>
      </c>
      <c r="E229" s="3" t="n">
        <v>80</v>
      </c>
    </row>
    <row r="230" customFormat="false" ht="15.75" hidden="false" customHeight="true" outlineLevel="0" collapsed="false">
      <c r="A230" s="4" t="n">
        <v>45672</v>
      </c>
      <c r="B230" s="3" t="n">
        <v>0</v>
      </c>
      <c r="C230" s="3" t="n">
        <v>5</v>
      </c>
      <c r="D230" s="3" t="n">
        <v>160</v>
      </c>
      <c r="E230" s="3" t="n">
        <v>80</v>
      </c>
    </row>
    <row r="231" customFormat="false" ht="15.75" hidden="false" customHeight="true" outlineLevel="0" collapsed="false">
      <c r="A231" s="4" t="n">
        <v>45673</v>
      </c>
      <c r="B231" s="3" t="n">
        <v>0</v>
      </c>
      <c r="C231" s="3" t="n">
        <v>5</v>
      </c>
      <c r="D231" s="3" t="n">
        <v>160</v>
      </c>
      <c r="E231" s="3" t="n">
        <v>80</v>
      </c>
    </row>
    <row r="232" customFormat="false" ht="15.75" hidden="false" customHeight="true" outlineLevel="0" collapsed="false">
      <c r="A232" s="4" t="n">
        <v>45674</v>
      </c>
      <c r="B232" s="3" t="n">
        <v>0</v>
      </c>
      <c r="C232" s="3" t="n">
        <v>6</v>
      </c>
      <c r="D232" s="3" t="n">
        <v>160</v>
      </c>
      <c r="E232" s="3" t="n">
        <v>80</v>
      </c>
    </row>
    <row r="233" customFormat="false" ht="15.75" hidden="false" customHeight="true" outlineLevel="0" collapsed="false">
      <c r="A233" s="4" t="n">
        <v>45675</v>
      </c>
      <c r="B233" s="3" t="n">
        <v>0</v>
      </c>
      <c r="C233" s="3" t="n">
        <v>5.3</v>
      </c>
      <c r="D233" s="3" t="n">
        <v>160</v>
      </c>
      <c r="E233" s="3" t="n">
        <v>80</v>
      </c>
    </row>
    <row r="234" customFormat="false" ht="15.75" hidden="false" customHeight="true" outlineLevel="0" collapsed="false">
      <c r="A234" s="4" t="n">
        <v>45676</v>
      </c>
      <c r="B234" s="3" t="n">
        <v>40.5</v>
      </c>
      <c r="C234" s="3" t="n">
        <v>5.6</v>
      </c>
      <c r="D234" s="3" t="n">
        <v>160</v>
      </c>
      <c r="E234" s="3" t="n">
        <v>80</v>
      </c>
    </row>
    <row r="235" customFormat="false" ht="15.75" hidden="false" customHeight="true" outlineLevel="0" collapsed="false">
      <c r="A235" s="4" t="n">
        <v>45677</v>
      </c>
      <c r="B235" s="3" t="n">
        <v>2.4</v>
      </c>
      <c r="C235" s="3" t="n">
        <v>5</v>
      </c>
      <c r="D235" s="3" t="n">
        <v>160</v>
      </c>
      <c r="E235" s="3" t="n">
        <v>80</v>
      </c>
    </row>
    <row r="236" customFormat="false" ht="15.75" hidden="false" customHeight="true" outlineLevel="0" collapsed="false">
      <c r="A236" s="4" t="n">
        <v>45678</v>
      </c>
      <c r="B236" s="3" t="n">
        <v>0</v>
      </c>
      <c r="C236" s="3" t="n">
        <v>7.3</v>
      </c>
      <c r="D236" s="3" t="n">
        <v>160</v>
      </c>
      <c r="E236" s="3" t="n">
        <v>80</v>
      </c>
    </row>
    <row r="237" customFormat="false" ht="15.75" hidden="false" customHeight="true" outlineLevel="0" collapsed="false">
      <c r="A237" s="4" t="n">
        <v>45679</v>
      </c>
      <c r="B237" s="3" t="n">
        <v>0</v>
      </c>
      <c r="C237" s="3" t="n">
        <v>5.9</v>
      </c>
      <c r="D237" s="3" t="n">
        <v>160</v>
      </c>
      <c r="E237" s="3" t="n">
        <v>80</v>
      </c>
    </row>
    <row r="238" customFormat="false" ht="15.75" hidden="false" customHeight="true" outlineLevel="0" collapsed="false">
      <c r="A238" s="4" t="n">
        <v>45680</v>
      </c>
      <c r="B238" s="3" t="n">
        <v>33.9</v>
      </c>
      <c r="C238" s="3" t="n">
        <v>7.1</v>
      </c>
      <c r="D238" s="3" t="n">
        <v>160</v>
      </c>
      <c r="E238" s="3" t="n">
        <v>80</v>
      </c>
    </row>
    <row r="239" customFormat="false" ht="15.75" hidden="false" customHeight="true" outlineLevel="0" collapsed="false">
      <c r="A239" s="4" t="n">
        <v>45681</v>
      </c>
      <c r="B239" s="3" t="n">
        <v>0</v>
      </c>
      <c r="C239" s="3" t="n">
        <v>6.2</v>
      </c>
      <c r="D239" s="3" t="n">
        <v>160</v>
      </c>
      <c r="E239" s="3" t="n">
        <v>80</v>
      </c>
    </row>
    <row r="240" customFormat="false" ht="15.75" hidden="false" customHeight="true" outlineLevel="0" collapsed="false">
      <c r="A240" s="4" t="n">
        <v>45682</v>
      </c>
      <c r="B240" s="3" t="n">
        <v>0</v>
      </c>
      <c r="C240" s="3" t="n">
        <v>5.5</v>
      </c>
      <c r="D240" s="3" t="n">
        <v>160</v>
      </c>
      <c r="E240" s="3" t="n">
        <v>80</v>
      </c>
    </row>
    <row r="241" customFormat="false" ht="15.75" hidden="false" customHeight="true" outlineLevel="0" collapsed="false">
      <c r="A241" s="4" t="n">
        <v>45683</v>
      </c>
      <c r="B241" s="3" t="n">
        <v>21.4</v>
      </c>
      <c r="C241" s="3" t="n">
        <v>5.8</v>
      </c>
      <c r="D241" s="3" t="n">
        <v>160</v>
      </c>
      <c r="E241" s="3" t="n">
        <v>80</v>
      </c>
    </row>
    <row r="242" customFormat="false" ht="15.75" hidden="false" customHeight="true" outlineLevel="0" collapsed="false">
      <c r="A242" s="4" t="n">
        <v>45684</v>
      </c>
      <c r="B242" s="3" t="n">
        <v>0</v>
      </c>
      <c r="C242" s="3" t="n">
        <v>5.6</v>
      </c>
      <c r="D242" s="3" t="n">
        <v>160</v>
      </c>
      <c r="E242" s="3" t="n">
        <v>80</v>
      </c>
    </row>
    <row r="243" customFormat="false" ht="15.75" hidden="false" customHeight="true" outlineLevel="0" collapsed="false">
      <c r="A243" s="4" t="n">
        <v>45685</v>
      </c>
      <c r="B243" s="3" t="n">
        <v>56.3</v>
      </c>
      <c r="C243" s="3" t="n">
        <v>5.8</v>
      </c>
      <c r="D243" s="3" t="n">
        <v>160</v>
      </c>
      <c r="E243" s="3" t="n">
        <v>80</v>
      </c>
    </row>
    <row r="244" customFormat="false" ht="15.75" hidden="false" customHeight="true" outlineLevel="0" collapsed="false">
      <c r="A244" s="4" t="n">
        <v>45686</v>
      </c>
      <c r="B244" s="3" t="n">
        <v>60</v>
      </c>
      <c r="C244" s="3" t="n">
        <v>5.1</v>
      </c>
      <c r="D244" s="3" t="n">
        <v>160</v>
      </c>
      <c r="E244" s="3" t="n">
        <v>80</v>
      </c>
    </row>
    <row r="245" customFormat="false" ht="15.75" hidden="false" customHeight="true" outlineLevel="0" collapsed="false">
      <c r="A245" s="4" t="n">
        <v>45687</v>
      </c>
      <c r="B245" s="3" t="n">
        <v>0</v>
      </c>
      <c r="C245" s="3" t="n">
        <v>6.2</v>
      </c>
      <c r="D245" s="3" t="n">
        <v>160</v>
      </c>
      <c r="E245" s="3" t="n">
        <v>80</v>
      </c>
    </row>
    <row r="246" customFormat="false" ht="15.75" hidden="false" customHeight="true" outlineLevel="0" collapsed="false">
      <c r="A246" s="4" t="n">
        <v>45688</v>
      </c>
      <c r="B246" s="3" t="n">
        <v>0</v>
      </c>
      <c r="C246" s="3" t="n">
        <v>5</v>
      </c>
      <c r="D246" s="3" t="n">
        <v>160</v>
      </c>
      <c r="E246" s="3" t="n">
        <v>80</v>
      </c>
    </row>
    <row r="247" customFormat="false" ht="15.75" hidden="false" customHeight="true" outlineLevel="0" collapsed="false">
      <c r="A247" s="4" t="n">
        <v>45689</v>
      </c>
      <c r="B247" s="3" t="n">
        <v>0</v>
      </c>
      <c r="C247" s="3" t="n">
        <v>5.1</v>
      </c>
      <c r="D247" s="3" t="n">
        <v>160</v>
      </c>
      <c r="E247" s="3" t="n">
        <v>80</v>
      </c>
    </row>
    <row r="248" customFormat="false" ht="15.75" hidden="false" customHeight="true" outlineLevel="0" collapsed="false">
      <c r="A248" s="4" t="n">
        <v>45690</v>
      </c>
      <c r="B248" s="3" t="n">
        <v>4.4</v>
      </c>
      <c r="C248" s="3" t="n">
        <v>5.4</v>
      </c>
      <c r="D248" s="3" t="n">
        <v>160</v>
      </c>
      <c r="E248" s="3" t="n">
        <v>80</v>
      </c>
    </row>
    <row r="249" customFormat="false" ht="15.75" hidden="false" customHeight="true" outlineLevel="0" collapsed="false">
      <c r="A249" s="4" t="n">
        <v>45691</v>
      </c>
      <c r="B249" s="3" t="n">
        <v>24.4</v>
      </c>
      <c r="C249" s="3" t="n">
        <v>4.6</v>
      </c>
      <c r="D249" s="3" t="n">
        <v>160</v>
      </c>
      <c r="E249" s="3" t="n">
        <v>80</v>
      </c>
    </row>
    <row r="250" customFormat="false" ht="15.75" hidden="false" customHeight="true" outlineLevel="0" collapsed="false">
      <c r="A250" s="4" t="n">
        <v>45692</v>
      </c>
      <c r="B250" s="3" t="n">
        <v>13.1</v>
      </c>
      <c r="C250" s="3" t="n">
        <v>5.8</v>
      </c>
      <c r="D250" s="3" t="n">
        <v>160</v>
      </c>
      <c r="E250" s="3" t="n">
        <v>80</v>
      </c>
    </row>
    <row r="251" customFormat="false" ht="15.75" hidden="false" customHeight="true" outlineLevel="0" collapsed="false">
      <c r="A251" s="4" t="n">
        <v>45693</v>
      </c>
      <c r="B251" s="3" t="n">
        <v>0</v>
      </c>
      <c r="C251" s="3" t="n">
        <v>6</v>
      </c>
      <c r="D251" s="3" t="n">
        <v>160</v>
      </c>
      <c r="E251" s="3" t="n">
        <v>80</v>
      </c>
    </row>
    <row r="252" customFormat="false" ht="15.75" hidden="false" customHeight="true" outlineLevel="0" collapsed="false">
      <c r="A252" s="4" t="n">
        <v>45694</v>
      </c>
      <c r="B252" s="3" t="n">
        <v>0</v>
      </c>
      <c r="C252" s="3" t="n">
        <v>5.6</v>
      </c>
      <c r="D252" s="3" t="n">
        <v>160</v>
      </c>
      <c r="E252" s="3" t="n">
        <v>80</v>
      </c>
    </row>
    <row r="253" customFormat="false" ht="15.75" hidden="false" customHeight="true" outlineLevel="0" collapsed="false">
      <c r="A253" s="4" t="n">
        <v>45695</v>
      </c>
      <c r="B253" s="3" t="n">
        <v>0</v>
      </c>
      <c r="C253" s="3" t="n">
        <v>5.7</v>
      </c>
      <c r="D253" s="3" t="n">
        <v>160</v>
      </c>
      <c r="E253" s="3" t="n">
        <v>80</v>
      </c>
    </row>
    <row r="254" customFormat="false" ht="15.75" hidden="false" customHeight="true" outlineLevel="0" collapsed="false">
      <c r="A254" s="4" t="n">
        <v>45696</v>
      </c>
      <c r="B254" s="3" t="n">
        <v>0</v>
      </c>
      <c r="C254" s="3" t="n">
        <v>5.5</v>
      </c>
      <c r="D254" s="3" t="n">
        <v>160</v>
      </c>
      <c r="E254" s="3" t="n">
        <v>80</v>
      </c>
    </row>
    <row r="255" customFormat="false" ht="15.75" hidden="false" customHeight="true" outlineLevel="0" collapsed="false">
      <c r="A255" s="4" t="n">
        <v>45697</v>
      </c>
      <c r="B255" s="3" t="n">
        <v>0</v>
      </c>
      <c r="C255" s="3" t="n">
        <v>6</v>
      </c>
      <c r="D255" s="3" t="n">
        <v>160</v>
      </c>
      <c r="E255" s="3" t="n">
        <v>80</v>
      </c>
    </row>
    <row r="256" customFormat="false" ht="15.75" hidden="false" customHeight="true" outlineLevel="0" collapsed="false">
      <c r="A256" s="4" t="n">
        <v>45698</v>
      </c>
      <c r="B256" s="3" t="n">
        <v>18.9</v>
      </c>
      <c r="C256" s="3" t="n">
        <v>6.4</v>
      </c>
      <c r="D256" s="3" t="n">
        <v>160</v>
      </c>
      <c r="E256" s="3" t="n">
        <v>80</v>
      </c>
    </row>
    <row r="257" customFormat="false" ht="15.75" hidden="false" customHeight="true" outlineLevel="0" collapsed="false">
      <c r="A257" s="4" t="n">
        <v>45699</v>
      </c>
      <c r="B257" s="3" t="n">
        <v>0</v>
      </c>
      <c r="C257" s="3" t="n">
        <v>5.4</v>
      </c>
      <c r="D257" s="3" t="n">
        <v>160</v>
      </c>
      <c r="E257" s="3" t="n">
        <v>80</v>
      </c>
    </row>
    <row r="258" customFormat="false" ht="15.75" hidden="false" customHeight="true" outlineLevel="0" collapsed="false">
      <c r="A258" s="4" t="n">
        <v>45700</v>
      </c>
      <c r="B258" s="3" t="n">
        <v>6.8</v>
      </c>
      <c r="C258" s="3" t="n">
        <v>5.2</v>
      </c>
      <c r="D258" s="3" t="n">
        <v>160</v>
      </c>
      <c r="E258" s="3" t="n">
        <v>80</v>
      </c>
    </row>
    <row r="259" customFormat="false" ht="15.75" hidden="false" customHeight="true" outlineLevel="0" collapsed="false">
      <c r="A259" s="4" t="n">
        <v>45701</v>
      </c>
      <c r="B259" s="3" t="n">
        <v>0</v>
      </c>
      <c r="C259" s="3" t="n">
        <v>5.6</v>
      </c>
      <c r="D259" s="3" t="n">
        <v>160</v>
      </c>
      <c r="E259" s="3" t="n">
        <v>80</v>
      </c>
    </row>
    <row r="260" customFormat="false" ht="15.75" hidden="false" customHeight="true" outlineLevel="0" collapsed="false">
      <c r="A260" s="4" t="n">
        <v>45702</v>
      </c>
      <c r="B260" s="3" t="n">
        <v>15.6</v>
      </c>
      <c r="C260" s="3" t="n">
        <v>4.8</v>
      </c>
      <c r="D260" s="3" t="n">
        <v>160</v>
      </c>
      <c r="E260" s="3" t="n">
        <v>80</v>
      </c>
    </row>
    <row r="261" customFormat="false" ht="15.75" hidden="false" customHeight="true" outlineLevel="0" collapsed="false">
      <c r="A261" s="4" t="n">
        <v>45703</v>
      </c>
      <c r="B261" s="3" t="n">
        <v>6.1</v>
      </c>
      <c r="C261" s="3" t="n">
        <v>5.7</v>
      </c>
      <c r="D261" s="3" t="n">
        <v>160</v>
      </c>
      <c r="E261" s="3" t="n">
        <v>80</v>
      </c>
    </row>
    <row r="262" customFormat="false" ht="15.75" hidden="false" customHeight="true" outlineLevel="0" collapsed="false">
      <c r="A262" s="4" t="n">
        <v>45704</v>
      </c>
      <c r="B262" s="3" t="n">
        <v>0</v>
      </c>
      <c r="C262" s="3" t="n">
        <v>6.2</v>
      </c>
      <c r="D262" s="3" t="n">
        <v>160</v>
      </c>
      <c r="E262" s="3" t="n">
        <v>80</v>
      </c>
    </row>
    <row r="263" customFormat="false" ht="15.75" hidden="false" customHeight="true" outlineLevel="0" collapsed="false">
      <c r="A263" s="4" t="n">
        <v>45705</v>
      </c>
      <c r="B263" s="3" t="n">
        <v>0</v>
      </c>
      <c r="C263" s="3" t="n">
        <v>6</v>
      </c>
      <c r="D263" s="3" t="n">
        <v>160</v>
      </c>
      <c r="E263" s="3" t="n">
        <v>80</v>
      </c>
    </row>
    <row r="264" customFormat="false" ht="15.75" hidden="false" customHeight="true" outlineLevel="0" collapsed="false">
      <c r="A264" s="4" t="n">
        <v>45706</v>
      </c>
      <c r="B264" s="3" t="n">
        <v>0</v>
      </c>
      <c r="C264" s="3" t="n">
        <v>6.3</v>
      </c>
      <c r="D264" s="3" t="n">
        <v>160</v>
      </c>
      <c r="E264" s="3" t="n">
        <v>80</v>
      </c>
    </row>
    <row r="265" customFormat="false" ht="15.75" hidden="false" customHeight="true" outlineLevel="0" collapsed="false">
      <c r="A265" s="4" t="n">
        <v>45707</v>
      </c>
      <c r="B265" s="3" t="n">
        <v>34</v>
      </c>
      <c r="C265" s="3" t="n">
        <v>4.5</v>
      </c>
      <c r="D265" s="3" t="n">
        <v>160</v>
      </c>
      <c r="E265" s="3" t="n">
        <v>80</v>
      </c>
    </row>
    <row r="266" customFormat="false" ht="15.75" hidden="false" customHeight="true" outlineLevel="0" collapsed="false">
      <c r="A266" s="4" t="n">
        <v>45708</v>
      </c>
      <c r="B266" s="3" t="n">
        <v>0</v>
      </c>
      <c r="C266" s="3" t="n">
        <v>5.9</v>
      </c>
      <c r="D266" s="3" t="n">
        <v>160</v>
      </c>
      <c r="E266" s="3" t="n">
        <v>80</v>
      </c>
    </row>
    <row r="267" customFormat="false" ht="15.75" hidden="false" customHeight="true" outlineLevel="0" collapsed="false">
      <c r="A267" s="4" t="n">
        <v>45709</v>
      </c>
      <c r="B267" s="3" t="n">
        <v>0</v>
      </c>
      <c r="C267" s="3" t="n">
        <v>5.5</v>
      </c>
      <c r="D267" s="3" t="n">
        <v>160</v>
      </c>
      <c r="E267" s="3" t="n">
        <v>80</v>
      </c>
    </row>
    <row r="268" customFormat="false" ht="15.75" hidden="false" customHeight="true" outlineLevel="0" collapsed="false">
      <c r="A268" s="4" t="n">
        <v>45710</v>
      </c>
      <c r="B268" s="3" t="n">
        <v>6.8</v>
      </c>
      <c r="C268" s="3" t="n">
        <v>4.6</v>
      </c>
      <c r="D268" s="3" t="n">
        <v>160</v>
      </c>
      <c r="E268" s="3" t="n">
        <v>80</v>
      </c>
    </row>
    <row r="269" customFormat="false" ht="15.75" hidden="false" customHeight="true" outlineLevel="0" collapsed="false">
      <c r="A269" s="4" t="n">
        <v>45711</v>
      </c>
      <c r="B269" s="3" t="n">
        <v>0</v>
      </c>
      <c r="C269" s="3" t="n">
        <v>5.8</v>
      </c>
      <c r="D269" s="3" t="n">
        <v>160</v>
      </c>
      <c r="E269" s="3" t="n">
        <v>80</v>
      </c>
    </row>
    <row r="270" customFormat="false" ht="15.75" hidden="false" customHeight="true" outlineLevel="0" collapsed="false">
      <c r="A270" s="4" t="n">
        <v>45712</v>
      </c>
      <c r="B270" s="3" t="n">
        <v>26.5</v>
      </c>
      <c r="C270" s="3" t="n">
        <v>5.2</v>
      </c>
      <c r="D270" s="3" t="n">
        <v>160</v>
      </c>
      <c r="E270" s="3" t="n">
        <v>80</v>
      </c>
    </row>
    <row r="271" customFormat="false" ht="15.75" hidden="false" customHeight="true" outlineLevel="0" collapsed="false">
      <c r="A271" s="4" t="n">
        <v>45713</v>
      </c>
      <c r="B271" s="3" t="n">
        <v>0</v>
      </c>
      <c r="C271" s="3" t="n">
        <v>5</v>
      </c>
      <c r="D271" s="3" t="n">
        <v>160</v>
      </c>
      <c r="E271" s="3" t="n">
        <v>80</v>
      </c>
    </row>
    <row r="272" customFormat="false" ht="15.75" hidden="false" customHeight="true" outlineLevel="0" collapsed="false">
      <c r="A272" s="4" t="n">
        <v>45714</v>
      </c>
      <c r="B272" s="3" t="n">
        <v>0</v>
      </c>
      <c r="C272" s="3" t="n">
        <v>5</v>
      </c>
      <c r="D272" s="3" t="n">
        <v>160</v>
      </c>
      <c r="E272" s="3" t="n">
        <v>80</v>
      </c>
    </row>
    <row r="273" customFormat="false" ht="15.75" hidden="false" customHeight="true" outlineLevel="0" collapsed="false">
      <c r="A273" s="4" t="n">
        <v>45715</v>
      </c>
      <c r="B273" s="3" t="n">
        <v>0</v>
      </c>
      <c r="C273" s="3" t="n">
        <v>4.8</v>
      </c>
      <c r="D273" s="3" t="n">
        <v>160</v>
      </c>
      <c r="E273" s="3" t="n">
        <v>80</v>
      </c>
    </row>
    <row r="274" customFormat="false" ht="15.75" hidden="false" customHeight="true" outlineLevel="0" collapsed="false">
      <c r="A274" s="4" t="n">
        <v>45716</v>
      </c>
      <c r="B274" s="3" t="n">
        <v>0</v>
      </c>
      <c r="C274" s="3" t="n">
        <v>6.5</v>
      </c>
      <c r="D274" s="3" t="n">
        <v>160</v>
      </c>
      <c r="E274" s="3" t="n">
        <v>80</v>
      </c>
    </row>
    <row r="275" customFormat="false" ht="15.75" hidden="false" customHeight="true" outlineLevel="0" collapsed="false">
      <c r="A275" s="4" t="n">
        <v>45717</v>
      </c>
      <c r="B275" s="3" t="n">
        <v>0</v>
      </c>
      <c r="C275" s="3" t="n">
        <v>5.1</v>
      </c>
      <c r="D275" s="3" t="n">
        <v>160</v>
      </c>
      <c r="E275" s="3" t="n">
        <v>80</v>
      </c>
    </row>
    <row r="276" customFormat="false" ht="15.75" hidden="false" customHeight="true" outlineLevel="0" collapsed="false">
      <c r="A276" s="4" t="n">
        <v>45718</v>
      </c>
      <c r="B276" s="3" t="n">
        <v>9.5</v>
      </c>
      <c r="C276" s="3" t="n">
        <v>5.2</v>
      </c>
      <c r="D276" s="3" t="n">
        <v>160</v>
      </c>
      <c r="E276" s="3" t="n">
        <v>80</v>
      </c>
    </row>
    <row r="277" customFormat="false" ht="15.75" hidden="false" customHeight="true" outlineLevel="0" collapsed="false">
      <c r="A277" s="4" t="n">
        <v>45719</v>
      </c>
      <c r="B277" s="3" t="n">
        <v>0</v>
      </c>
      <c r="C277" s="3" t="n">
        <v>5.8</v>
      </c>
      <c r="D277" s="3" t="n">
        <v>160</v>
      </c>
      <c r="E277" s="3" t="n">
        <v>80</v>
      </c>
    </row>
    <row r="278" customFormat="false" ht="15.75" hidden="false" customHeight="true" outlineLevel="0" collapsed="false">
      <c r="A278" s="4" t="n">
        <v>45720</v>
      </c>
      <c r="B278" s="3" t="n">
        <v>5</v>
      </c>
      <c r="C278" s="3" t="n">
        <v>5.5</v>
      </c>
      <c r="D278" s="3" t="n">
        <v>160</v>
      </c>
      <c r="E278" s="3" t="n">
        <v>80</v>
      </c>
    </row>
    <row r="279" customFormat="false" ht="15.75" hidden="false" customHeight="true" outlineLevel="0" collapsed="false">
      <c r="A279" s="4" t="n">
        <v>45721</v>
      </c>
      <c r="B279" s="3" t="n">
        <v>0</v>
      </c>
      <c r="C279" s="3" t="n">
        <v>6.1</v>
      </c>
      <c r="D279" s="3" t="n">
        <v>160</v>
      </c>
      <c r="E279" s="3" t="n">
        <v>80</v>
      </c>
    </row>
    <row r="280" customFormat="false" ht="15.75" hidden="false" customHeight="true" outlineLevel="0" collapsed="false">
      <c r="A280" s="4" t="n">
        <v>45722</v>
      </c>
      <c r="B280" s="3" t="n">
        <v>19.8</v>
      </c>
      <c r="C280" s="3" t="n">
        <v>5.4</v>
      </c>
      <c r="D280" s="3" t="n">
        <v>160</v>
      </c>
      <c r="E280" s="3" t="n">
        <v>80</v>
      </c>
    </row>
    <row r="281" customFormat="false" ht="15.75" hidden="false" customHeight="true" outlineLevel="0" collapsed="false">
      <c r="A281" s="4" t="n">
        <v>45723</v>
      </c>
      <c r="B281" s="3" t="n">
        <v>0</v>
      </c>
      <c r="C281" s="3" t="n">
        <v>5.2</v>
      </c>
      <c r="D281" s="3" t="n">
        <v>160</v>
      </c>
      <c r="E281" s="3" t="n">
        <v>80</v>
      </c>
    </row>
    <row r="282" customFormat="false" ht="15.75" hidden="false" customHeight="true" outlineLevel="0" collapsed="false">
      <c r="A282" s="4" t="n">
        <v>45724</v>
      </c>
      <c r="B282" s="3" t="n">
        <v>22.6</v>
      </c>
      <c r="C282" s="3" t="n">
        <v>5.1</v>
      </c>
      <c r="D282" s="3" t="n">
        <v>160</v>
      </c>
      <c r="E282" s="3" t="n">
        <v>80</v>
      </c>
    </row>
    <row r="283" customFormat="false" ht="15.75" hidden="false" customHeight="true" outlineLevel="0" collapsed="false">
      <c r="A283" s="4" t="n">
        <v>45725</v>
      </c>
      <c r="B283" s="3" t="n">
        <v>0</v>
      </c>
      <c r="C283" s="3" t="n">
        <v>6.1</v>
      </c>
      <c r="D283" s="3" t="n">
        <v>160</v>
      </c>
      <c r="E283" s="3" t="n">
        <v>80</v>
      </c>
    </row>
    <row r="284" customFormat="false" ht="15.75" hidden="false" customHeight="true" outlineLevel="0" collapsed="false">
      <c r="A284" s="4" t="n">
        <v>45726</v>
      </c>
      <c r="B284" s="3" t="n">
        <v>0</v>
      </c>
      <c r="C284" s="3" t="n">
        <v>4.6</v>
      </c>
      <c r="D284" s="3" t="n">
        <v>160</v>
      </c>
      <c r="E284" s="3" t="n">
        <v>80</v>
      </c>
    </row>
    <row r="285" customFormat="false" ht="15.75" hidden="false" customHeight="true" outlineLevel="0" collapsed="false">
      <c r="A285" s="4" t="n">
        <v>45727</v>
      </c>
      <c r="B285" s="3" t="n">
        <v>0</v>
      </c>
      <c r="C285" s="3" t="n">
        <v>5.4</v>
      </c>
      <c r="D285" s="3" t="n">
        <v>160</v>
      </c>
      <c r="E285" s="3" t="n">
        <v>80</v>
      </c>
    </row>
    <row r="286" customFormat="false" ht="15.75" hidden="false" customHeight="true" outlineLevel="0" collapsed="false">
      <c r="A286" s="4" t="n">
        <v>45728</v>
      </c>
      <c r="B286" s="3" t="n">
        <v>19.3</v>
      </c>
      <c r="C286" s="3" t="n">
        <v>7.3</v>
      </c>
      <c r="D286" s="3" t="n">
        <v>160</v>
      </c>
      <c r="E286" s="3" t="n">
        <v>80</v>
      </c>
    </row>
    <row r="287" customFormat="false" ht="15.75" hidden="false" customHeight="true" outlineLevel="0" collapsed="false">
      <c r="A287" s="4" t="n">
        <v>45729</v>
      </c>
      <c r="B287" s="3" t="n">
        <v>0</v>
      </c>
      <c r="C287" s="3" t="n">
        <v>4.9</v>
      </c>
      <c r="D287" s="3" t="n">
        <v>160</v>
      </c>
      <c r="E287" s="3" t="n">
        <v>80</v>
      </c>
    </row>
    <row r="288" customFormat="false" ht="15.75" hidden="false" customHeight="true" outlineLevel="0" collapsed="false">
      <c r="A288" s="4" t="n">
        <v>45730</v>
      </c>
      <c r="B288" s="3" t="n">
        <v>0</v>
      </c>
      <c r="C288" s="3" t="n">
        <v>5.2</v>
      </c>
      <c r="D288" s="3" t="n">
        <v>160</v>
      </c>
      <c r="E288" s="3" t="n">
        <v>80</v>
      </c>
    </row>
    <row r="289" customFormat="false" ht="15.75" hidden="false" customHeight="true" outlineLevel="0" collapsed="false">
      <c r="A289" s="4" t="n">
        <v>45731</v>
      </c>
      <c r="B289" s="3" t="n">
        <v>0</v>
      </c>
      <c r="C289" s="3" t="n">
        <v>5.5</v>
      </c>
      <c r="D289" s="3" t="n">
        <v>160</v>
      </c>
      <c r="E289" s="3" t="n">
        <v>80</v>
      </c>
    </row>
    <row r="290" customFormat="false" ht="15.75" hidden="false" customHeight="true" outlineLevel="0" collapsed="false">
      <c r="A290" s="4" t="n">
        <v>45732</v>
      </c>
      <c r="B290" s="3" t="n">
        <v>16.5</v>
      </c>
      <c r="C290" s="3" t="n">
        <v>5.3</v>
      </c>
      <c r="D290" s="3" t="n">
        <v>160</v>
      </c>
      <c r="E290" s="3" t="n">
        <v>80</v>
      </c>
    </row>
    <row r="291" customFormat="false" ht="15.75" hidden="false" customHeight="true" outlineLevel="0" collapsed="false">
      <c r="A291" s="4" t="n">
        <v>45733</v>
      </c>
      <c r="B291" s="3" t="n">
        <v>0</v>
      </c>
      <c r="C291" s="3" t="n">
        <v>5.4</v>
      </c>
      <c r="D291" s="3" t="n">
        <v>160</v>
      </c>
      <c r="E291" s="3" t="n">
        <v>80</v>
      </c>
    </row>
    <row r="292" customFormat="false" ht="15.75" hidden="false" customHeight="true" outlineLevel="0" collapsed="false">
      <c r="A292" s="4" t="n">
        <v>45734</v>
      </c>
      <c r="B292" s="3" t="n">
        <v>10.4</v>
      </c>
      <c r="C292" s="3" t="n">
        <v>6.3</v>
      </c>
      <c r="D292" s="3" t="n">
        <v>160</v>
      </c>
      <c r="E292" s="3" t="n">
        <v>80</v>
      </c>
    </row>
    <row r="293" customFormat="false" ht="15.75" hidden="false" customHeight="true" outlineLevel="0" collapsed="false">
      <c r="A293" s="4" t="n">
        <v>45735</v>
      </c>
      <c r="B293" s="3" t="n">
        <v>12.5</v>
      </c>
      <c r="C293" s="3" t="n">
        <v>5.8</v>
      </c>
      <c r="D293" s="3" t="n">
        <v>160</v>
      </c>
      <c r="E293" s="3" t="n">
        <v>80</v>
      </c>
    </row>
    <row r="294" customFormat="false" ht="15.75" hidden="false" customHeight="true" outlineLevel="0" collapsed="false">
      <c r="A294" s="4" t="n">
        <v>45736</v>
      </c>
      <c r="B294" s="3" t="n">
        <v>6.4</v>
      </c>
      <c r="C294" s="3" t="n">
        <v>5.1</v>
      </c>
      <c r="D294" s="3" t="n">
        <v>160</v>
      </c>
      <c r="E294" s="3" t="n">
        <v>80</v>
      </c>
    </row>
    <row r="295" customFormat="false" ht="15.75" hidden="false" customHeight="true" outlineLevel="0" collapsed="false">
      <c r="A295" s="4" t="n">
        <v>45737</v>
      </c>
      <c r="B295" s="3" t="n">
        <v>8.1</v>
      </c>
      <c r="C295" s="3" t="n">
        <v>5.8</v>
      </c>
      <c r="D295" s="3" t="n">
        <v>160</v>
      </c>
      <c r="E295" s="3" t="n">
        <v>80</v>
      </c>
    </row>
    <row r="296" customFormat="false" ht="15.75" hidden="false" customHeight="true" outlineLevel="0" collapsed="false">
      <c r="A296" s="4" t="n">
        <v>45738</v>
      </c>
      <c r="B296" s="3" t="n">
        <v>7.5</v>
      </c>
      <c r="C296" s="3" t="n">
        <v>6.4</v>
      </c>
      <c r="D296" s="3" t="n">
        <v>160</v>
      </c>
      <c r="E296" s="3" t="n">
        <v>80</v>
      </c>
    </row>
    <row r="297" customFormat="false" ht="15.75" hidden="false" customHeight="true" outlineLevel="0" collapsed="false">
      <c r="A297" s="4" t="n">
        <v>45739</v>
      </c>
      <c r="B297" s="3" t="n">
        <v>0</v>
      </c>
      <c r="C297" s="3" t="n">
        <v>5.8</v>
      </c>
      <c r="D297" s="3" t="n">
        <v>160</v>
      </c>
      <c r="E297" s="3" t="n">
        <v>80</v>
      </c>
    </row>
    <row r="298" customFormat="false" ht="15.75" hidden="false" customHeight="true" outlineLevel="0" collapsed="false">
      <c r="A298" s="4" t="n">
        <v>45740</v>
      </c>
      <c r="B298" s="3" t="n">
        <v>0</v>
      </c>
      <c r="C298" s="3" t="n">
        <v>5.4</v>
      </c>
      <c r="D298" s="3" t="n">
        <v>160</v>
      </c>
      <c r="E298" s="3" t="n">
        <v>80</v>
      </c>
    </row>
    <row r="299" customFormat="false" ht="15.75" hidden="false" customHeight="true" outlineLevel="0" collapsed="false">
      <c r="A299" s="4" t="n">
        <v>45741</v>
      </c>
      <c r="B299" s="3" t="n">
        <v>3</v>
      </c>
      <c r="C299" s="3" t="n">
        <v>6.8</v>
      </c>
      <c r="D299" s="3" t="n">
        <v>160</v>
      </c>
      <c r="E299" s="3" t="n">
        <v>80</v>
      </c>
    </row>
    <row r="300" customFormat="false" ht="15.75" hidden="false" customHeight="true" outlineLevel="0" collapsed="false">
      <c r="A300" s="4" t="n">
        <v>45742</v>
      </c>
      <c r="B300" s="3" t="n">
        <v>19.7</v>
      </c>
      <c r="C300" s="3" t="n">
        <v>5.5</v>
      </c>
      <c r="D300" s="3" t="n">
        <v>160</v>
      </c>
      <c r="E300" s="3" t="n">
        <v>80</v>
      </c>
    </row>
    <row r="301" customFormat="false" ht="15.75" hidden="false" customHeight="true" outlineLevel="0" collapsed="false">
      <c r="A301" s="4" t="n">
        <v>45743</v>
      </c>
      <c r="B301" s="3" t="n">
        <v>0</v>
      </c>
      <c r="C301" s="3" t="n">
        <v>4.2</v>
      </c>
      <c r="D301" s="3" t="n">
        <v>160</v>
      </c>
      <c r="E301" s="3" t="n">
        <v>80</v>
      </c>
    </row>
    <row r="302" customFormat="false" ht="15.75" hidden="false" customHeight="true" outlineLevel="0" collapsed="false">
      <c r="A302" s="4" t="n">
        <v>45744</v>
      </c>
      <c r="B302" s="3" t="n">
        <v>6.1</v>
      </c>
      <c r="C302" s="3" t="n">
        <v>6.1</v>
      </c>
      <c r="D302" s="3" t="n">
        <v>160</v>
      </c>
      <c r="E302" s="3" t="n">
        <v>80</v>
      </c>
    </row>
    <row r="303" customFormat="false" ht="15.75" hidden="false" customHeight="true" outlineLevel="0" collapsed="false">
      <c r="A303" s="4" t="n">
        <v>45745</v>
      </c>
      <c r="B303" s="3" t="n">
        <v>0</v>
      </c>
      <c r="C303" s="3" t="n">
        <v>5.2</v>
      </c>
      <c r="D303" s="3" t="n">
        <v>160</v>
      </c>
      <c r="E303" s="3" t="n">
        <v>80</v>
      </c>
    </row>
    <row r="304" customFormat="false" ht="15.75" hidden="false" customHeight="true" outlineLevel="0" collapsed="false">
      <c r="A304" s="4" t="n">
        <v>45746</v>
      </c>
      <c r="B304" s="3" t="n">
        <v>25.1</v>
      </c>
      <c r="C304" s="3" t="n">
        <v>5.7</v>
      </c>
      <c r="D304" s="3" t="n">
        <v>160</v>
      </c>
      <c r="E304" s="3" t="n">
        <v>80</v>
      </c>
    </row>
    <row r="305" customFormat="false" ht="15.75" hidden="false" customHeight="true" outlineLevel="0" collapsed="false">
      <c r="A305" s="4" t="n">
        <v>45747</v>
      </c>
      <c r="B305" s="3" t="n">
        <v>0</v>
      </c>
      <c r="C305" s="3" t="n">
        <v>5.2</v>
      </c>
      <c r="D305" s="3" t="n">
        <v>160</v>
      </c>
      <c r="E305" s="3" t="n">
        <v>80</v>
      </c>
    </row>
    <row r="306" customFormat="false" ht="15.75" hidden="false" customHeight="true" outlineLevel="0" collapsed="false">
      <c r="A306" s="4" t="n">
        <v>45748</v>
      </c>
      <c r="B306" s="3" t="n">
        <v>0</v>
      </c>
      <c r="C306" s="3" t="n">
        <v>4.8</v>
      </c>
      <c r="D306" s="3" t="n">
        <v>160</v>
      </c>
      <c r="E306" s="3" t="n">
        <v>80</v>
      </c>
    </row>
    <row r="307" customFormat="false" ht="15.75" hidden="false" customHeight="true" outlineLevel="0" collapsed="false">
      <c r="A307" s="4" t="n">
        <v>45749</v>
      </c>
      <c r="B307" s="3" t="n">
        <v>0</v>
      </c>
      <c r="C307" s="3" t="n">
        <v>5.5</v>
      </c>
      <c r="D307" s="3" t="n">
        <v>160</v>
      </c>
      <c r="E307" s="3" t="n">
        <v>80</v>
      </c>
    </row>
    <row r="308" customFormat="false" ht="15.75" hidden="false" customHeight="true" outlineLevel="0" collapsed="false">
      <c r="A308" s="4" t="n">
        <v>45750</v>
      </c>
      <c r="B308" s="3" t="n">
        <v>0</v>
      </c>
      <c r="C308" s="3" t="n">
        <v>4.6</v>
      </c>
      <c r="D308" s="3" t="n">
        <v>160</v>
      </c>
      <c r="E308" s="3" t="n">
        <v>80</v>
      </c>
    </row>
    <row r="309" customFormat="false" ht="15.75" hidden="false" customHeight="true" outlineLevel="0" collapsed="false">
      <c r="A309" s="4" t="n">
        <v>45751</v>
      </c>
      <c r="B309" s="3" t="n">
        <v>0</v>
      </c>
      <c r="C309" s="3" t="n">
        <v>5.1</v>
      </c>
      <c r="D309" s="3" t="n">
        <v>160</v>
      </c>
      <c r="E309" s="3" t="n">
        <v>80</v>
      </c>
    </row>
    <row r="310" customFormat="false" ht="15.75" hidden="false" customHeight="true" outlineLevel="0" collapsed="false">
      <c r="A310" s="4" t="n">
        <v>45752</v>
      </c>
      <c r="B310" s="3" t="n">
        <v>0</v>
      </c>
      <c r="C310" s="3" t="n">
        <v>5</v>
      </c>
      <c r="D310" s="3" t="n">
        <v>160</v>
      </c>
      <c r="E310" s="3" t="n">
        <v>80</v>
      </c>
    </row>
    <row r="311" customFormat="false" ht="15.75" hidden="false" customHeight="true" outlineLevel="0" collapsed="false">
      <c r="A311" s="4" t="n">
        <v>45753</v>
      </c>
      <c r="B311" s="3" t="n">
        <v>2.3</v>
      </c>
      <c r="C311" s="3" t="n">
        <v>4.5</v>
      </c>
      <c r="D311" s="3" t="n">
        <v>160</v>
      </c>
      <c r="E311" s="3" t="n">
        <v>80</v>
      </c>
    </row>
    <row r="312" customFormat="false" ht="15.75" hidden="false" customHeight="true" outlineLevel="0" collapsed="false">
      <c r="A312" s="4" t="n">
        <v>45754</v>
      </c>
      <c r="B312" s="3" t="n">
        <v>0</v>
      </c>
      <c r="C312" s="3" t="n">
        <v>5.8</v>
      </c>
      <c r="D312" s="3" t="n">
        <v>160</v>
      </c>
      <c r="E312" s="3" t="n">
        <v>80</v>
      </c>
    </row>
    <row r="313" customFormat="false" ht="15.75" hidden="false" customHeight="true" outlineLevel="0" collapsed="false">
      <c r="A313" s="4" t="n">
        <v>45755</v>
      </c>
      <c r="B313" s="3" t="n">
        <v>0</v>
      </c>
      <c r="C313" s="3" t="n">
        <v>4.7</v>
      </c>
      <c r="D313" s="3" t="n">
        <v>160</v>
      </c>
      <c r="E313" s="3" t="n">
        <v>80</v>
      </c>
    </row>
    <row r="314" customFormat="false" ht="15.75" hidden="false" customHeight="true" outlineLevel="0" collapsed="false">
      <c r="A314" s="4" t="n">
        <v>45756</v>
      </c>
      <c r="B314" s="3" t="n">
        <v>0</v>
      </c>
      <c r="C314" s="3" t="n">
        <v>5.2</v>
      </c>
      <c r="D314" s="3" t="n">
        <v>160</v>
      </c>
      <c r="E314" s="3" t="n">
        <v>80</v>
      </c>
    </row>
    <row r="315" customFormat="false" ht="15.75" hidden="false" customHeight="true" outlineLevel="0" collapsed="false">
      <c r="A315" s="4" t="n">
        <v>45757</v>
      </c>
      <c r="B315" s="3" t="n">
        <v>2.1</v>
      </c>
      <c r="C315" s="3" t="n">
        <v>4.9</v>
      </c>
      <c r="D315" s="3" t="n">
        <v>160</v>
      </c>
      <c r="E315" s="3" t="n">
        <v>80</v>
      </c>
    </row>
    <row r="316" customFormat="false" ht="15.75" hidden="false" customHeight="true" outlineLevel="0" collapsed="false">
      <c r="A316" s="4" t="n">
        <v>45758</v>
      </c>
      <c r="B316" s="3" t="n">
        <v>0</v>
      </c>
      <c r="C316" s="3" t="n">
        <v>5</v>
      </c>
      <c r="D316" s="3" t="n">
        <v>160</v>
      </c>
      <c r="E316" s="3" t="n">
        <v>80</v>
      </c>
    </row>
    <row r="317" customFormat="false" ht="15.75" hidden="false" customHeight="true" outlineLevel="0" collapsed="false">
      <c r="A317" s="4" t="n">
        <v>45759</v>
      </c>
      <c r="B317" s="3" t="n">
        <v>0</v>
      </c>
      <c r="C317" s="3" t="n">
        <v>4.8</v>
      </c>
      <c r="D317" s="3" t="n">
        <v>160</v>
      </c>
      <c r="E317" s="3" t="n">
        <v>80</v>
      </c>
    </row>
    <row r="318" customFormat="false" ht="15.75" hidden="false" customHeight="true" outlineLevel="0" collapsed="false">
      <c r="A318" s="4" t="n">
        <v>45760</v>
      </c>
      <c r="B318" s="3" t="n">
        <v>0</v>
      </c>
      <c r="C318" s="3" t="n">
        <v>4.9</v>
      </c>
      <c r="D318" s="3" t="n">
        <v>160</v>
      </c>
      <c r="E318" s="3" t="n">
        <v>80</v>
      </c>
    </row>
    <row r="319" customFormat="false" ht="15.75" hidden="false" customHeight="true" outlineLevel="0" collapsed="false">
      <c r="A319" s="4" t="n">
        <v>45761</v>
      </c>
      <c r="B319" s="3" t="n">
        <v>0</v>
      </c>
      <c r="C319" s="3" t="n">
        <v>5</v>
      </c>
      <c r="D319" s="3" t="n">
        <v>160</v>
      </c>
      <c r="E319" s="3" t="n">
        <v>80</v>
      </c>
    </row>
    <row r="320" customFormat="false" ht="15.75" hidden="false" customHeight="true" outlineLevel="0" collapsed="false">
      <c r="A320" s="4" t="n">
        <v>45762</v>
      </c>
      <c r="B320" s="3" t="n">
        <v>0.1</v>
      </c>
      <c r="C320" s="3" t="n">
        <v>4.6</v>
      </c>
      <c r="D320" s="3" t="n">
        <v>160</v>
      </c>
      <c r="E320" s="3" t="n">
        <v>80</v>
      </c>
    </row>
    <row r="321" customFormat="false" ht="15.75" hidden="false" customHeight="true" outlineLevel="0" collapsed="false">
      <c r="A321" s="4" t="n">
        <v>45763</v>
      </c>
      <c r="B321" s="3" t="n">
        <v>2.1</v>
      </c>
      <c r="C321" s="3" t="n">
        <v>4.8</v>
      </c>
      <c r="D321" s="3" t="n">
        <v>160</v>
      </c>
      <c r="E321" s="3" t="n">
        <v>80</v>
      </c>
    </row>
    <row r="322" customFormat="false" ht="15.75" hidden="false" customHeight="true" outlineLevel="0" collapsed="false">
      <c r="A322" s="4" t="n">
        <v>45764</v>
      </c>
      <c r="B322" s="3" t="n">
        <v>0</v>
      </c>
      <c r="C322" s="3" t="n">
        <v>5.3</v>
      </c>
      <c r="D322" s="3" t="n">
        <v>160</v>
      </c>
      <c r="E322" s="3" t="n">
        <v>80</v>
      </c>
    </row>
    <row r="323" customFormat="false" ht="15.75" hidden="false" customHeight="true" outlineLevel="0" collapsed="false">
      <c r="A323" s="4" t="n">
        <v>45765</v>
      </c>
      <c r="B323" s="3" t="n">
        <v>0</v>
      </c>
      <c r="C323" s="3" t="n">
        <v>4.6</v>
      </c>
      <c r="D323" s="3" t="n">
        <v>160</v>
      </c>
      <c r="E323" s="3" t="n">
        <v>80</v>
      </c>
    </row>
    <row r="324" customFormat="false" ht="15.75" hidden="false" customHeight="true" outlineLevel="0" collapsed="false">
      <c r="A324" s="4" t="n">
        <v>45766</v>
      </c>
      <c r="B324" s="3" t="n">
        <v>0</v>
      </c>
      <c r="C324" s="3" t="n">
        <v>5.4</v>
      </c>
      <c r="D324" s="3" t="n">
        <v>160</v>
      </c>
      <c r="E324" s="3" t="n">
        <v>80</v>
      </c>
    </row>
    <row r="325" customFormat="false" ht="15.75" hidden="false" customHeight="true" outlineLevel="0" collapsed="false">
      <c r="A325" s="4" t="n">
        <v>45767</v>
      </c>
      <c r="B325" s="3" t="n">
        <v>0</v>
      </c>
      <c r="C325" s="3" t="n">
        <v>5.1</v>
      </c>
      <c r="D325" s="3" t="n">
        <v>160</v>
      </c>
      <c r="E325" s="3" t="n">
        <v>80</v>
      </c>
    </row>
    <row r="326" customFormat="false" ht="15.75" hidden="false" customHeight="true" outlineLevel="0" collapsed="false">
      <c r="A326" s="4" t="n">
        <v>45768</v>
      </c>
      <c r="B326" s="3" t="n">
        <v>0</v>
      </c>
      <c r="C326" s="3" t="n">
        <v>6.3</v>
      </c>
      <c r="D326" s="3" t="n">
        <v>160</v>
      </c>
      <c r="E326" s="3" t="n">
        <v>80</v>
      </c>
    </row>
    <row r="327" customFormat="false" ht="15.75" hidden="false" customHeight="true" outlineLevel="0" collapsed="false">
      <c r="A327" s="4" t="n">
        <v>45769</v>
      </c>
      <c r="B327" s="3" t="n">
        <v>0</v>
      </c>
      <c r="C327" s="3" t="n">
        <v>5.1</v>
      </c>
      <c r="D327" s="3" t="n">
        <v>160</v>
      </c>
      <c r="E327" s="3" t="n">
        <v>80</v>
      </c>
    </row>
    <row r="328" customFormat="false" ht="15.75" hidden="false" customHeight="true" outlineLevel="0" collapsed="false">
      <c r="A328" s="4" t="n">
        <v>45770</v>
      </c>
      <c r="B328" s="3" t="n">
        <v>0</v>
      </c>
      <c r="C328" s="3" t="n">
        <v>4.4</v>
      </c>
      <c r="D328" s="3" t="n">
        <v>160</v>
      </c>
      <c r="E328" s="3" t="n">
        <v>80</v>
      </c>
    </row>
    <row r="329" customFormat="false" ht="15.75" hidden="false" customHeight="true" outlineLevel="0" collapsed="false">
      <c r="A329" s="4" t="n">
        <v>45771</v>
      </c>
      <c r="B329" s="3" t="n">
        <v>0</v>
      </c>
      <c r="C329" s="3" t="n">
        <v>6.3</v>
      </c>
      <c r="D329" s="3" t="n">
        <v>160</v>
      </c>
      <c r="E329" s="3" t="n">
        <v>80</v>
      </c>
    </row>
    <row r="330" customFormat="false" ht="15.75" hidden="false" customHeight="true" outlineLevel="0" collapsed="false">
      <c r="A330" s="4" t="n">
        <v>45772</v>
      </c>
      <c r="B330" s="3" t="n">
        <v>0</v>
      </c>
      <c r="C330" s="3" t="n">
        <v>5.1</v>
      </c>
      <c r="D330" s="3" t="n">
        <v>160</v>
      </c>
      <c r="E330" s="3" t="n">
        <v>80</v>
      </c>
    </row>
    <row r="331" customFormat="false" ht="15.75" hidden="false" customHeight="true" outlineLevel="0" collapsed="false">
      <c r="A331" s="4" t="n">
        <v>45773</v>
      </c>
      <c r="B331" s="3" t="n">
        <v>0</v>
      </c>
      <c r="C331" s="3" t="n">
        <v>5.1</v>
      </c>
      <c r="D331" s="3" t="n">
        <v>160</v>
      </c>
      <c r="E331" s="3" t="n">
        <v>80</v>
      </c>
    </row>
    <row r="332" customFormat="false" ht="15.75" hidden="false" customHeight="true" outlineLevel="0" collapsed="false">
      <c r="A332" s="4" t="n">
        <v>45774</v>
      </c>
      <c r="B332" s="3" t="n">
        <v>3.2</v>
      </c>
      <c r="C332" s="3" t="n">
        <v>5.9</v>
      </c>
      <c r="D332" s="3" t="n">
        <v>160</v>
      </c>
      <c r="E332" s="3" t="n">
        <v>80</v>
      </c>
    </row>
    <row r="333" customFormat="false" ht="15.75" hidden="false" customHeight="true" outlineLevel="0" collapsed="false">
      <c r="A333" s="4" t="n">
        <v>45775</v>
      </c>
      <c r="B333" s="3" t="n">
        <v>0</v>
      </c>
      <c r="C333" s="3" t="n">
        <v>4.9</v>
      </c>
      <c r="D333" s="3" t="n">
        <v>160</v>
      </c>
      <c r="E333" s="3" t="n">
        <v>80</v>
      </c>
    </row>
    <row r="334" customFormat="false" ht="15.75" hidden="false" customHeight="true" outlineLevel="0" collapsed="false">
      <c r="A334" s="4" t="n">
        <v>45776</v>
      </c>
      <c r="B334" s="3" t="n">
        <v>0</v>
      </c>
      <c r="C334" s="3" t="n">
        <v>5.6</v>
      </c>
      <c r="D334" s="3" t="n">
        <v>160</v>
      </c>
      <c r="E334" s="3" t="n">
        <v>80</v>
      </c>
    </row>
    <row r="335" customFormat="false" ht="15.75" hidden="false" customHeight="true" outlineLevel="0" collapsed="false">
      <c r="A335" s="4" t="n">
        <v>45777</v>
      </c>
      <c r="B335" s="3" t="n">
        <v>0</v>
      </c>
      <c r="C335" s="3" t="n">
        <v>4.9</v>
      </c>
      <c r="D335" s="3" t="n">
        <v>160</v>
      </c>
      <c r="E335" s="3" t="n">
        <v>80</v>
      </c>
    </row>
    <row r="336" customFormat="false" ht="15.75" hidden="false" customHeight="true" outlineLevel="0" collapsed="false">
      <c r="A336" s="4" t="n">
        <v>45778</v>
      </c>
      <c r="B336" s="3" t="n">
        <v>0</v>
      </c>
      <c r="C336" s="3" t="n">
        <v>5.4</v>
      </c>
      <c r="D336" s="3" t="n">
        <v>160</v>
      </c>
      <c r="E336" s="3" t="n">
        <v>80</v>
      </c>
    </row>
    <row r="337" customFormat="false" ht="15.75" hidden="false" customHeight="true" outlineLevel="0" collapsed="false">
      <c r="A337" s="4" t="n">
        <v>45779</v>
      </c>
      <c r="B337" s="3" t="n">
        <v>0.3</v>
      </c>
      <c r="C337" s="3" t="n">
        <v>5.4</v>
      </c>
      <c r="D337" s="3" t="n">
        <v>160</v>
      </c>
      <c r="E337" s="3" t="n">
        <v>80</v>
      </c>
    </row>
    <row r="338" customFormat="false" ht="15.75" hidden="false" customHeight="true" outlineLevel="0" collapsed="false">
      <c r="A338" s="4" t="n">
        <v>45780</v>
      </c>
      <c r="B338" s="3" t="n">
        <v>0</v>
      </c>
      <c r="C338" s="3" t="n">
        <v>5.4</v>
      </c>
      <c r="D338" s="3" t="n">
        <v>160</v>
      </c>
      <c r="E338" s="3" t="n">
        <v>80</v>
      </c>
    </row>
    <row r="339" customFormat="false" ht="15.75" hidden="false" customHeight="true" outlineLevel="0" collapsed="false">
      <c r="A339" s="4" t="n">
        <v>45781</v>
      </c>
      <c r="B339" s="3" t="n">
        <v>0</v>
      </c>
      <c r="C339" s="3" t="n">
        <v>4.6</v>
      </c>
      <c r="D339" s="3" t="n">
        <v>160</v>
      </c>
      <c r="E339" s="3" t="n">
        <v>80</v>
      </c>
    </row>
    <row r="340" customFormat="false" ht="15.75" hidden="false" customHeight="true" outlineLevel="0" collapsed="false">
      <c r="A340" s="4" t="n">
        <v>45782</v>
      </c>
      <c r="B340" s="3" t="n">
        <v>0</v>
      </c>
      <c r="C340" s="3" t="n">
        <v>5.7</v>
      </c>
      <c r="D340" s="3" t="n">
        <v>160</v>
      </c>
      <c r="E340" s="3" t="n">
        <v>80</v>
      </c>
    </row>
    <row r="341" customFormat="false" ht="15.75" hidden="false" customHeight="true" outlineLevel="0" collapsed="false">
      <c r="A341" s="4" t="n">
        <v>45783</v>
      </c>
      <c r="B341" s="3" t="n">
        <v>0</v>
      </c>
      <c r="C341" s="3" t="n">
        <v>5.2</v>
      </c>
      <c r="D341" s="3" t="n">
        <v>160</v>
      </c>
      <c r="E341" s="3" t="n">
        <v>80</v>
      </c>
    </row>
    <row r="342" customFormat="false" ht="15.75" hidden="false" customHeight="true" outlineLevel="0" collapsed="false">
      <c r="A342" s="4" t="n">
        <v>45784</v>
      </c>
      <c r="B342" s="3" t="n">
        <v>0</v>
      </c>
      <c r="C342" s="3" t="n">
        <v>5.2</v>
      </c>
      <c r="D342" s="3" t="n">
        <v>160</v>
      </c>
      <c r="E342" s="3" t="n">
        <v>80</v>
      </c>
    </row>
    <row r="343" customFormat="false" ht="15.75" hidden="false" customHeight="true" outlineLevel="0" collapsed="false">
      <c r="A343" s="4" t="n">
        <v>45785</v>
      </c>
      <c r="B343" s="3" t="n">
        <v>0</v>
      </c>
      <c r="C343" s="3" t="n">
        <v>5.4</v>
      </c>
      <c r="D343" s="3" t="n">
        <v>160</v>
      </c>
      <c r="E343" s="3" t="n">
        <v>80</v>
      </c>
    </row>
    <row r="344" customFormat="false" ht="15.75" hidden="false" customHeight="true" outlineLevel="0" collapsed="false">
      <c r="A344" s="4" t="n">
        <v>45786</v>
      </c>
      <c r="B344" s="3" t="n">
        <v>0</v>
      </c>
      <c r="C344" s="3" t="n">
        <v>5</v>
      </c>
      <c r="D344" s="3" t="n">
        <v>160</v>
      </c>
      <c r="E344" s="3" t="n">
        <v>80</v>
      </c>
    </row>
    <row r="345" customFormat="false" ht="15.75" hidden="false" customHeight="true" outlineLevel="0" collapsed="false">
      <c r="A345" s="4" t="n">
        <v>45787</v>
      </c>
      <c r="B345" s="3" t="n">
        <v>0</v>
      </c>
      <c r="C345" s="3" t="n">
        <v>5.6</v>
      </c>
      <c r="D345" s="3" t="n">
        <v>160</v>
      </c>
      <c r="E345" s="3" t="n">
        <v>80</v>
      </c>
    </row>
    <row r="346" customFormat="false" ht="15.75" hidden="false" customHeight="true" outlineLevel="0" collapsed="false">
      <c r="A346" s="4" t="n">
        <v>45788</v>
      </c>
      <c r="B346" s="3" t="n">
        <v>0</v>
      </c>
      <c r="C346" s="3" t="n">
        <v>6</v>
      </c>
      <c r="D346" s="3" t="n">
        <v>160</v>
      </c>
      <c r="E346" s="3" t="n">
        <v>80</v>
      </c>
    </row>
    <row r="347" customFormat="false" ht="15.75" hidden="false" customHeight="true" outlineLevel="0" collapsed="false">
      <c r="A347" s="4" t="n">
        <v>45789</v>
      </c>
      <c r="B347" s="3" t="n">
        <v>0</v>
      </c>
      <c r="C347" s="3" t="n">
        <v>4.7</v>
      </c>
      <c r="D347" s="3" t="n">
        <v>160</v>
      </c>
      <c r="E347" s="3" t="n">
        <v>80</v>
      </c>
    </row>
    <row r="348" customFormat="false" ht="15.75" hidden="false" customHeight="true" outlineLevel="0" collapsed="false">
      <c r="A348" s="4" t="n">
        <v>45790</v>
      </c>
      <c r="B348" s="3" t="n">
        <v>0</v>
      </c>
      <c r="C348" s="3" t="n">
        <v>4.8</v>
      </c>
      <c r="D348" s="3" t="n">
        <v>160</v>
      </c>
      <c r="E348" s="3" t="n">
        <v>80</v>
      </c>
    </row>
    <row r="349" customFormat="false" ht="15.75" hidden="false" customHeight="true" outlineLevel="0" collapsed="false">
      <c r="A349" s="4" t="n">
        <v>45791</v>
      </c>
      <c r="B349" s="3" t="n">
        <v>0</v>
      </c>
      <c r="C349" s="3" t="n">
        <v>5.6</v>
      </c>
      <c r="D349" s="3" t="n">
        <v>160</v>
      </c>
      <c r="E349" s="3" t="n">
        <v>80</v>
      </c>
    </row>
    <row r="350" customFormat="false" ht="15.75" hidden="false" customHeight="true" outlineLevel="0" collapsed="false">
      <c r="A350" s="4" t="n">
        <v>45792</v>
      </c>
      <c r="B350" s="3" t="n">
        <v>0</v>
      </c>
      <c r="C350" s="3" t="n">
        <v>5.4</v>
      </c>
      <c r="D350" s="3" t="n">
        <v>160</v>
      </c>
      <c r="E350" s="3" t="n">
        <v>80</v>
      </c>
    </row>
    <row r="351" customFormat="false" ht="15.75" hidden="false" customHeight="true" outlineLevel="0" collapsed="false">
      <c r="A351" s="4" t="n">
        <v>45793</v>
      </c>
      <c r="B351" s="3" t="n">
        <v>0</v>
      </c>
      <c r="C351" s="3" t="n">
        <v>5.2</v>
      </c>
      <c r="D351" s="3" t="n">
        <v>160</v>
      </c>
      <c r="E351" s="3" t="n">
        <v>80</v>
      </c>
    </row>
    <row r="352" customFormat="false" ht="15.75" hidden="false" customHeight="true" outlineLevel="0" collapsed="false">
      <c r="A352" s="4" t="n">
        <v>45794</v>
      </c>
      <c r="B352" s="3" t="n">
        <v>0</v>
      </c>
      <c r="C352" s="3" t="n">
        <v>5.5</v>
      </c>
      <c r="D352" s="3" t="n">
        <v>160</v>
      </c>
      <c r="E352" s="3" t="n">
        <v>80</v>
      </c>
    </row>
    <row r="353" customFormat="false" ht="15.75" hidden="false" customHeight="true" outlineLevel="0" collapsed="false">
      <c r="A353" s="4" t="n">
        <v>45795</v>
      </c>
      <c r="B353" s="3" t="n">
        <v>0</v>
      </c>
      <c r="C353" s="3" t="n">
        <v>5.3</v>
      </c>
      <c r="D353" s="3" t="n">
        <v>160</v>
      </c>
      <c r="E353" s="3" t="n">
        <v>80</v>
      </c>
    </row>
    <row r="354" customFormat="false" ht="15.75" hidden="false" customHeight="true" outlineLevel="0" collapsed="false">
      <c r="A354" s="4" t="n">
        <v>45796</v>
      </c>
      <c r="B354" s="3" t="n">
        <v>0</v>
      </c>
      <c r="C354" s="3" t="n">
        <v>5.4</v>
      </c>
      <c r="D354" s="3" t="n">
        <v>160</v>
      </c>
      <c r="E354" s="3" t="n">
        <v>80</v>
      </c>
    </row>
    <row r="355" customFormat="false" ht="15.75" hidden="false" customHeight="true" outlineLevel="0" collapsed="false">
      <c r="A355" s="4" t="n">
        <v>45797</v>
      </c>
      <c r="B355" s="3" t="n">
        <v>0</v>
      </c>
      <c r="C355" s="3" t="n">
        <v>4.8</v>
      </c>
      <c r="D355" s="3" t="n">
        <v>160</v>
      </c>
      <c r="E355" s="3" t="n">
        <v>80</v>
      </c>
    </row>
    <row r="356" customFormat="false" ht="15.75" hidden="false" customHeight="true" outlineLevel="0" collapsed="false">
      <c r="A356" s="4" t="n">
        <v>45798</v>
      </c>
      <c r="B356" s="3" t="n">
        <v>0</v>
      </c>
      <c r="C356" s="3" t="n">
        <v>5.3</v>
      </c>
      <c r="D356" s="3" t="n">
        <v>160</v>
      </c>
      <c r="E356" s="3" t="n">
        <v>80</v>
      </c>
    </row>
    <row r="357" customFormat="false" ht="15.75" hidden="false" customHeight="true" outlineLevel="0" collapsed="false">
      <c r="A357" s="4" t="n">
        <v>45799</v>
      </c>
      <c r="B357" s="3" t="n">
        <v>0</v>
      </c>
      <c r="C357" s="3" t="n">
        <v>5.3</v>
      </c>
      <c r="D357" s="3" t="n">
        <v>160</v>
      </c>
      <c r="E357" s="3" t="n">
        <v>80</v>
      </c>
    </row>
    <row r="358" customFormat="false" ht="15.75" hidden="false" customHeight="true" outlineLevel="0" collapsed="false">
      <c r="A358" s="4" t="n">
        <v>45800</v>
      </c>
      <c r="B358" s="3" t="n">
        <v>0</v>
      </c>
      <c r="C358" s="3" t="n">
        <v>5.7</v>
      </c>
      <c r="D358" s="3" t="n">
        <v>160</v>
      </c>
      <c r="E358" s="3" t="n">
        <v>80</v>
      </c>
    </row>
    <row r="359" customFormat="false" ht="15.75" hidden="false" customHeight="true" outlineLevel="0" collapsed="false">
      <c r="A359" s="4" t="n">
        <v>45801</v>
      </c>
      <c r="B359" s="3" t="n">
        <v>0</v>
      </c>
      <c r="C359" s="3" t="n">
        <v>4.5</v>
      </c>
      <c r="D359" s="3" t="n">
        <v>160</v>
      </c>
      <c r="E359" s="3" t="n">
        <v>80</v>
      </c>
    </row>
    <row r="360" customFormat="false" ht="15.75" hidden="false" customHeight="true" outlineLevel="0" collapsed="false">
      <c r="A360" s="4" t="n">
        <v>45802</v>
      </c>
      <c r="B360" s="3" t="n">
        <v>0</v>
      </c>
      <c r="C360" s="3" t="n">
        <v>5.2</v>
      </c>
      <c r="D360" s="3" t="n">
        <v>160</v>
      </c>
      <c r="E360" s="3" t="n">
        <v>80</v>
      </c>
    </row>
    <row r="361" customFormat="false" ht="15.75" hidden="false" customHeight="true" outlineLevel="0" collapsed="false">
      <c r="A361" s="4" t="n">
        <v>45803</v>
      </c>
      <c r="B361" s="3" t="n">
        <v>0</v>
      </c>
      <c r="C361" s="3" t="n">
        <v>4.4</v>
      </c>
      <c r="D361" s="3" t="n">
        <v>160</v>
      </c>
      <c r="E361" s="3" t="n">
        <v>80</v>
      </c>
    </row>
    <row r="362" customFormat="false" ht="15.75" hidden="false" customHeight="true" outlineLevel="0" collapsed="false">
      <c r="A362" s="4" t="n">
        <v>45804</v>
      </c>
      <c r="B362" s="3" t="n">
        <v>0</v>
      </c>
      <c r="C362" s="3" t="n">
        <v>5.6</v>
      </c>
      <c r="D362" s="3" t="n">
        <v>160</v>
      </c>
      <c r="E362" s="3" t="n">
        <v>80</v>
      </c>
    </row>
    <row r="363" customFormat="false" ht="15.75" hidden="false" customHeight="true" outlineLevel="0" collapsed="false">
      <c r="A363" s="4" t="n">
        <v>45805</v>
      </c>
      <c r="B363" s="3" t="n">
        <v>2.8</v>
      </c>
      <c r="C363" s="3" t="n">
        <v>5.2</v>
      </c>
      <c r="D363" s="3" t="n">
        <v>160</v>
      </c>
      <c r="E363" s="3" t="n">
        <v>80</v>
      </c>
    </row>
    <row r="364" customFormat="false" ht="15.75" hidden="false" customHeight="true" outlineLevel="0" collapsed="false">
      <c r="A364" s="4" t="n">
        <v>45806</v>
      </c>
      <c r="B364" s="3" t="n">
        <v>0</v>
      </c>
      <c r="C364" s="3" t="n">
        <v>4.8</v>
      </c>
      <c r="D364" s="3" t="n">
        <v>160</v>
      </c>
      <c r="E364" s="3" t="n">
        <v>80</v>
      </c>
    </row>
    <row r="365" customFormat="false" ht="15.75" hidden="false" customHeight="true" outlineLevel="0" collapsed="false">
      <c r="A365" s="4" t="n">
        <v>45807</v>
      </c>
      <c r="B365" s="3" t="n">
        <v>0</v>
      </c>
      <c r="C365" s="3" t="n">
        <v>4.9</v>
      </c>
      <c r="D365" s="3" t="n">
        <v>160</v>
      </c>
      <c r="E365" s="3" t="n">
        <v>80</v>
      </c>
    </row>
    <row r="366" customFormat="false" ht="15.75" hidden="false" customHeight="true" outlineLevel="0" collapsed="false">
      <c r="A366" s="4" t="n">
        <v>45808</v>
      </c>
      <c r="B366" s="3" t="n">
        <v>0</v>
      </c>
      <c r="C366" s="3" t="n">
        <v>5.2</v>
      </c>
      <c r="D366" s="3" t="n">
        <v>160</v>
      </c>
      <c r="E366" s="3" t="n">
        <v>80</v>
      </c>
    </row>
    <row r="367" customFormat="false" ht="15.75" hidden="false" customHeight="true" outlineLevel="0" collapsed="false">
      <c r="A367" s="4" t="n">
        <v>45809</v>
      </c>
      <c r="B367" s="3" t="n">
        <v>0</v>
      </c>
      <c r="C367" s="3" t="n">
        <v>3.8</v>
      </c>
      <c r="D367" s="3" t="n">
        <v>160</v>
      </c>
      <c r="E367" s="3" t="n">
        <v>80</v>
      </c>
    </row>
    <row r="368" customFormat="false" ht="15.75" hidden="false" customHeight="true" outlineLevel="0" collapsed="false">
      <c r="A368" s="4" t="n">
        <v>45810</v>
      </c>
      <c r="B368" s="3" t="n">
        <v>0</v>
      </c>
      <c r="C368" s="3" t="n">
        <v>3.7</v>
      </c>
      <c r="D368" s="3" t="n">
        <v>160</v>
      </c>
      <c r="E368" s="3" t="n">
        <v>80</v>
      </c>
    </row>
    <row r="369" customFormat="false" ht="15.75" hidden="false" customHeight="true" outlineLevel="0" collapsed="false">
      <c r="A369" s="4" t="n">
        <v>45811</v>
      </c>
      <c r="B369" s="3" t="n">
        <v>0</v>
      </c>
      <c r="C369" s="3" t="n">
        <v>4.2</v>
      </c>
      <c r="D369" s="3" t="n">
        <v>160</v>
      </c>
      <c r="E369" s="3" t="n">
        <v>80</v>
      </c>
    </row>
    <row r="370" customFormat="false" ht="15.75" hidden="false" customHeight="true" outlineLevel="0" collapsed="false">
      <c r="A370" s="4" t="n">
        <v>45812</v>
      </c>
      <c r="B370" s="3" t="n">
        <v>0</v>
      </c>
      <c r="C370" s="3" t="n">
        <v>4.1</v>
      </c>
      <c r="D370" s="3" t="n">
        <v>160</v>
      </c>
      <c r="E370" s="3" t="n">
        <v>80</v>
      </c>
    </row>
    <row r="371" customFormat="false" ht="15.75" hidden="false" customHeight="true" outlineLevel="0" collapsed="false">
      <c r="A371" s="4" t="n">
        <v>45813</v>
      </c>
      <c r="B371" s="3" t="n">
        <v>0</v>
      </c>
      <c r="C371" s="3" t="n">
        <v>4.3</v>
      </c>
      <c r="D371" s="3" t="n">
        <v>160</v>
      </c>
      <c r="E371" s="3" t="n">
        <v>80</v>
      </c>
    </row>
    <row r="372" customFormat="false" ht="15.75" hidden="false" customHeight="true" outlineLevel="0" collapsed="false">
      <c r="A372" s="4" t="n">
        <v>45814</v>
      </c>
      <c r="B372" s="3" t="n">
        <v>0</v>
      </c>
      <c r="C372" s="3" t="n">
        <v>4.5</v>
      </c>
      <c r="D372" s="3" t="n">
        <v>160</v>
      </c>
      <c r="E372" s="3" t="n">
        <v>80</v>
      </c>
    </row>
    <row r="373" customFormat="false" ht="15.75" hidden="false" customHeight="true" outlineLevel="0" collapsed="false">
      <c r="A373" s="4" t="n">
        <v>45815</v>
      </c>
      <c r="B373" s="3" t="n">
        <v>0.4</v>
      </c>
      <c r="C373" s="3" t="n">
        <v>4.1</v>
      </c>
      <c r="D373" s="3" t="n">
        <v>160</v>
      </c>
      <c r="E373" s="3" t="n">
        <v>80</v>
      </c>
    </row>
    <row r="374" customFormat="false" ht="15.75" hidden="false" customHeight="true" outlineLevel="0" collapsed="false">
      <c r="A374" s="4" t="n">
        <v>45816</v>
      </c>
      <c r="B374" s="3" t="n">
        <v>0</v>
      </c>
      <c r="C374" s="3" t="n">
        <v>4.7</v>
      </c>
      <c r="D374" s="3" t="n">
        <v>160</v>
      </c>
      <c r="E374" s="3" t="n">
        <v>80</v>
      </c>
    </row>
    <row r="375" customFormat="false" ht="15.75" hidden="false" customHeight="true" outlineLevel="0" collapsed="false">
      <c r="A375" s="4" t="n">
        <v>45817</v>
      </c>
      <c r="B375" s="3" t="n">
        <v>0</v>
      </c>
      <c r="C375" s="3" t="n">
        <v>4.1</v>
      </c>
      <c r="D375" s="3" t="n">
        <v>160</v>
      </c>
      <c r="E375" s="3" t="n">
        <v>80</v>
      </c>
    </row>
    <row r="376" customFormat="false" ht="15.75" hidden="false" customHeight="true" outlineLevel="0" collapsed="false">
      <c r="A376" s="4" t="n">
        <v>45818</v>
      </c>
      <c r="B376" s="3" t="n">
        <v>0</v>
      </c>
      <c r="C376" s="3" t="n">
        <v>4.3</v>
      </c>
      <c r="D376" s="3" t="n">
        <v>160</v>
      </c>
      <c r="E376" s="3" t="n">
        <v>80</v>
      </c>
    </row>
    <row r="377" customFormat="false" ht="15.75" hidden="false" customHeight="true" outlineLevel="0" collapsed="false">
      <c r="A377" s="4" t="n">
        <v>45819</v>
      </c>
      <c r="B377" s="3" t="n">
        <v>0</v>
      </c>
      <c r="C377" s="3" t="n">
        <v>4.8</v>
      </c>
      <c r="D377" s="3" t="n">
        <v>160</v>
      </c>
      <c r="E377" s="3" t="n">
        <v>80</v>
      </c>
    </row>
    <row r="378" customFormat="false" ht="15.75" hidden="false" customHeight="true" outlineLevel="0" collapsed="false">
      <c r="A378" s="4" t="n">
        <v>45820</v>
      </c>
      <c r="B378" s="3" t="n">
        <v>0</v>
      </c>
      <c r="C378" s="3" t="n">
        <v>4.3</v>
      </c>
      <c r="D378" s="3" t="n">
        <v>160</v>
      </c>
      <c r="E378" s="3" t="n">
        <v>80</v>
      </c>
    </row>
    <row r="379" customFormat="false" ht="15.75" hidden="false" customHeight="true" outlineLevel="0" collapsed="false">
      <c r="A379" s="4" t="n">
        <v>45821</v>
      </c>
      <c r="B379" s="3" t="n">
        <v>0</v>
      </c>
      <c r="C379" s="3" t="n">
        <v>4.1</v>
      </c>
      <c r="D379" s="3" t="n">
        <v>160</v>
      </c>
      <c r="E379" s="3" t="n">
        <v>80</v>
      </c>
    </row>
    <row r="380" customFormat="false" ht="15.75" hidden="false" customHeight="true" outlineLevel="0" collapsed="false">
      <c r="A380" s="4" t="n">
        <v>45822</v>
      </c>
      <c r="B380" s="3" t="n">
        <v>0</v>
      </c>
      <c r="C380" s="3" t="n">
        <v>4.5</v>
      </c>
      <c r="D380" s="3" t="n">
        <v>160</v>
      </c>
      <c r="E380" s="3" t="n">
        <v>80</v>
      </c>
    </row>
    <row r="381" customFormat="false" ht="15.75" hidden="false" customHeight="true" outlineLevel="0" collapsed="false">
      <c r="A381" s="4" t="n">
        <v>45823</v>
      </c>
      <c r="B381" s="3" t="n">
        <v>0</v>
      </c>
      <c r="C381" s="3" t="n">
        <v>4.3</v>
      </c>
      <c r="D381" s="3" t="n">
        <v>160</v>
      </c>
      <c r="E381" s="3" t="n">
        <v>80</v>
      </c>
    </row>
    <row r="382" customFormat="false" ht="15.75" hidden="false" customHeight="true" outlineLevel="0" collapsed="false">
      <c r="A382" s="4" t="n">
        <v>45824</v>
      </c>
      <c r="B382" s="3" t="n">
        <v>0</v>
      </c>
      <c r="C382" s="3" t="n">
        <v>4.8</v>
      </c>
      <c r="D382" s="3" t="n">
        <v>160</v>
      </c>
      <c r="E382" s="3" t="n">
        <v>80</v>
      </c>
    </row>
    <row r="383" customFormat="false" ht="15.75" hidden="false" customHeight="true" outlineLevel="0" collapsed="false">
      <c r="A383" s="4" t="n">
        <v>45825</v>
      </c>
      <c r="B383" s="3" t="n">
        <v>0</v>
      </c>
      <c r="C383" s="3" t="n">
        <v>4.5</v>
      </c>
      <c r="D383" s="3" t="n">
        <v>160</v>
      </c>
      <c r="E383" s="3" t="n">
        <v>80</v>
      </c>
    </row>
    <row r="384" customFormat="false" ht="15.75" hidden="false" customHeight="true" outlineLevel="0" collapsed="false">
      <c r="A384" s="4" t="n">
        <v>45826</v>
      </c>
      <c r="B384" s="3" t="n">
        <v>0</v>
      </c>
      <c r="C384" s="3" t="n">
        <v>4.7</v>
      </c>
      <c r="D384" s="3" t="n">
        <v>160</v>
      </c>
      <c r="E384" s="3" t="n">
        <v>80</v>
      </c>
    </row>
    <row r="385" customFormat="false" ht="15.75" hidden="false" customHeight="true" outlineLevel="0" collapsed="false">
      <c r="A385" s="4" t="n">
        <v>45827</v>
      </c>
      <c r="B385" s="3" t="n">
        <v>0</v>
      </c>
      <c r="C385" s="3" t="n">
        <v>3.8</v>
      </c>
      <c r="D385" s="3" t="n">
        <v>160</v>
      </c>
      <c r="E385" s="3" t="n">
        <v>80</v>
      </c>
    </row>
    <row r="386" customFormat="false" ht="15.75" hidden="false" customHeight="true" outlineLevel="0" collapsed="false">
      <c r="A386" s="4" t="n">
        <v>45828</v>
      </c>
      <c r="B386" s="3" t="n">
        <v>0</v>
      </c>
      <c r="C386" s="3" t="n">
        <v>4.5</v>
      </c>
      <c r="D386" s="3" t="n">
        <v>160</v>
      </c>
      <c r="E386" s="3" t="n">
        <v>80</v>
      </c>
    </row>
    <row r="387" customFormat="false" ht="15.75" hidden="false" customHeight="true" outlineLevel="0" collapsed="false">
      <c r="A387" s="4" t="n">
        <v>45829</v>
      </c>
      <c r="B387" s="3" t="n">
        <v>0</v>
      </c>
      <c r="C387" s="3" t="n">
        <v>4.7</v>
      </c>
      <c r="D387" s="3" t="n">
        <v>160</v>
      </c>
      <c r="E387" s="3" t="n">
        <v>80</v>
      </c>
    </row>
    <row r="388" customFormat="false" ht="15.75" hidden="false" customHeight="true" outlineLevel="0" collapsed="false">
      <c r="A388" s="4" t="n">
        <v>45830</v>
      </c>
      <c r="B388" s="3" t="n">
        <v>0</v>
      </c>
      <c r="C388" s="3" t="n">
        <v>3.7</v>
      </c>
      <c r="D388" s="3" t="n">
        <v>160</v>
      </c>
      <c r="E388" s="3" t="n">
        <v>80</v>
      </c>
    </row>
    <row r="389" customFormat="false" ht="15.75" hidden="false" customHeight="true" outlineLevel="0" collapsed="false">
      <c r="A389" s="4" t="n">
        <v>45831</v>
      </c>
      <c r="B389" s="3" t="n">
        <v>0</v>
      </c>
      <c r="C389" s="3" t="n">
        <v>4.6</v>
      </c>
      <c r="D389" s="3" t="n">
        <v>160</v>
      </c>
      <c r="E389" s="3" t="n">
        <v>80</v>
      </c>
    </row>
    <row r="390" customFormat="false" ht="15.75" hidden="false" customHeight="true" outlineLevel="0" collapsed="false">
      <c r="A390" s="4" t="n">
        <v>45832</v>
      </c>
      <c r="B390" s="3" t="n">
        <v>0</v>
      </c>
      <c r="C390" s="3" t="n">
        <v>4.1</v>
      </c>
      <c r="D390" s="3" t="n">
        <v>160</v>
      </c>
      <c r="E390" s="3" t="n">
        <v>80</v>
      </c>
    </row>
    <row r="391" customFormat="false" ht="15.75" hidden="false" customHeight="true" outlineLevel="0" collapsed="false">
      <c r="A391" s="4" t="n">
        <v>45833</v>
      </c>
      <c r="B391" s="3" t="n">
        <v>0</v>
      </c>
      <c r="C391" s="3" t="n">
        <v>3.7</v>
      </c>
      <c r="D391" s="3" t="n">
        <v>160</v>
      </c>
      <c r="E391" s="3" t="n">
        <v>80</v>
      </c>
    </row>
    <row r="392" customFormat="false" ht="15.75" hidden="false" customHeight="true" outlineLevel="0" collapsed="false">
      <c r="A392" s="4" t="n">
        <v>45834</v>
      </c>
      <c r="B392" s="3" t="n">
        <v>0</v>
      </c>
      <c r="C392" s="3" t="n">
        <v>5</v>
      </c>
      <c r="D392" s="3" t="n">
        <v>160</v>
      </c>
      <c r="E392" s="3" t="n">
        <v>80</v>
      </c>
    </row>
    <row r="393" customFormat="false" ht="15.75" hidden="false" customHeight="true" outlineLevel="0" collapsed="false">
      <c r="A393" s="4" t="n">
        <v>45835</v>
      </c>
      <c r="B393" s="3" t="n">
        <v>0</v>
      </c>
      <c r="C393" s="3" t="n">
        <v>4.6</v>
      </c>
      <c r="D393" s="3" t="n">
        <v>160</v>
      </c>
      <c r="E393" s="3" t="n">
        <v>80</v>
      </c>
    </row>
    <row r="394" customFormat="false" ht="15.75" hidden="false" customHeight="true" outlineLevel="0" collapsed="false">
      <c r="A394" s="4" t="n">
        <v>45836</v>
      </c>
      <c r="B394" s="3" t="n">
        <v>0</v>
      </c>
      <c r="C394" s="3" t="n">
        <v>3.4</v>
      </c>
      <c r="D394" s="3" t="n">
        <v>160</v>
      </c>
      <c r="E394" s="3" t="n">
        <v>80</v>
      </c>
    </row>
    <row r="395" customFormat="false" ht="15.75" hidden="false" customHeight="true" outlineLevel="0" collapsed="false">
      <c r="A395" s="4" t="n">
        <v>45837</v>
      </c>
      <c r="B395" s="3" t="n">
        <v>0</v>
      </c>
      <c r="C395" s="3" t="n">
        <v>4.3</v>
      </c>
      <c r="D395" s="3" t="n">
        <v>160</v>
      </c>
      <c r="E395" s="3" t="n">
        <v>80</v>
      </c>
    </row>
    <row r="396" customFormat="false" ht="15.75" hidden="false" customHeight="true" outlineLevel="0" collapsed="false">
      <c r="A396" s="4" t="n">
        <v>45838</v>
      </c>
      <c r="B396" s="3" t="n">
        <v>0</v>
      </c>
      <c r="C396" s="3" t="n">
        <v>4.7</v>
      </c>
      <c r="D396" s="3" t="n">
        <v>160</v>
      </c>
      <c r="E396" s="3" t="n">
        <v>80</v>
      </c>
    </row>
    <row r="397" customFormat="false" ht="15.75" hidden="false" customHeight="true" outlineLevel="0" collapsed="false">
      <c r="A397" s="4" t="n">
        <v>45839</v>
      </c>
      <c r="B397" s="3" t="n">
        <v>0</v>
      </c>
      <c r="C397" s="3" t="n">
        <v>3.3</v>
      </c>
      <c r="D397" s="3" t="n">
        <v>160</v>
      </c>
      <c r="E397" s="3" t="n">
        <v>80</v>
      </c>
    </row>
    <row r="398" customFormat="false" ht="15.75" hidden="false" customHeight="true" outlineLevel="0" collapsed="false">
      <c r="A398" s="4" t="n">
        <v>45840</v>
      </c>
      <c r="B398" s="3" t="n">
        <v>0</v>
      </c>
      <c r="C398" s="3" t="n">
        <v>5</v>
      </c>
      <c r="D398" s="3" t="n">
        <v>160</v>
      </c>
      <c r="E398" s="3" t="n">
        <v>80</v>
      </c>
    </row>
    <row r="399" customFormat="false" ht="15.75" hidden="false" customHeight="true" outlineLevel="0" collapsed="false">
      <c r="A399" s="4" t="n">
        <v>45841</v>
      </c>
      <c r="B399" s="3" t="n">
        <v>0</v>
      </c>
      <c r="C399" s="3" t="n">
        <v>4.5</v>
      </c>
      <c r="D399" s="3" t="n">
        <v>160</v>
      </c>
      <c r="E399" s="3" t="n">
        <v>80</v>
      </c>
    </row>
    <row r="400" customFormat="false" ht="15.75" hidden="false" customHeight="true" outlineLevel="0" collapsed="false">
      <c r="A400" s="4" t="n">
        <v>45842</v>
      </c>
      <c r="B400" s="3" t="n">
        <v>0</v>
      </c>
      <c r="C400" s="3" t="n">
        <v>5.6</v>
      </c>
      <c r="D400" s="3" t="n">
        <v>160</v>
      </c>
      <c r="E400" s="3" t="n">
        <v>80</v>
      </c>
    </row>
    <row r="401" customFormat="false" ht="15.75" hidden="false" customHeight="true" outlineLevel="0" collapsed="false">
      <c r="A401" s="4" t="n">
        <v>45843</v>
      </c>
      <c r="B401" s="3" t="n">
        <v>0</v>
      </c>
      <c r="C401" s="3" t="n">
        <v>4.4</v>
      </c>
      <c r="D401" s="3" t="n">
        <v>160</v>
      </c>
      <c r="E401" s="3" t="n">
        <v>80</v>
      </c>
    </row>
    <row r="402" customFormat="false" ht="15.75" hidden="false" customHeight="true" outlineLevel="0" collapsed="false">
      <c r="A402" s="4" t="n">
        <v>45844</v>
      </c>
      <c r="B402" s="3" t="n">
        <v>0</v>
      </c>
      <c r="C402" s="3" t="n">
        <v>3.7</v>
      </c>
      <c r="D402" s="3" t="n">
        <v>160</v>
      </c>
      <c r="E402" s="3" t="n">
        <v>80</v>
      </c>
    </row>
    <row r="403" customFormat="false" ht="15.75" hidden="false" customHeight="true" outlineLevel="0" collapsed="false">
      <c r="A403" s="4" t="n">
        <v>45845</v>
      </c>
      <c r="B403" s="3" t="n">
        <v>0</v>
      </c>
      <c r="C403" s="3" t="n">
        <v>5.1</v>
      </c>
      <c r="D403" s="3" t="n">
        <v>160</v>
      </c>
      <c r="E403" s="3" t="n">
        <v>80</v>
      </c>
    </row>
    <row r="404" customFormat="false" ht="15.75" hidden="false" customHeight="true" outlineLevel="0" collapsed="false">
      <c r="A404" s="4" t="n">
        <v>45846</v>
      </c>
      <c r="B404" s="3" t="n">
        <v>0</v>
      </c>
      <c r="C404" s="3" t="n">
        <v>4.3</v>
      </c>
      <c r="D404" s="3" t="n">
        <v>160</v>
      </c>
      <c r="E404" s="3" t="n">
        <v>80</v>
      </c>
    </row>
    <row r="405" customFormat="false" ht="15.75" hidden="false" customHeight="true" outlineLevel="0" collapsed="false">
      <c r="A405" s="4" t="n">
        <v>45847</v>
      </c>
      <c r="B405" s="3" t="n">
        <v>0</v>
      </c>
      <c r="C405" s="3" t="n">
        <v>4.1</v>
      </c>
      <c r="D405" s="3" t="n">
        <v>160</v>
      </c>
      <c r="E405" s="3" t="n">
        <v>80</v>
      </c>
    </row>
    <row r="406" customFormat="false" ht="15.75" hidden="false" customHeight="true" outlineLevel="0" collapsed="false">
      <c r="A406" s="4" t="n">
        <v>45848</v>
      </c>
      <c r="B406" s="3" t="n">
        <v>0</v>
      </c>
      <c r="C406" s="3" t="n">
        <v>4.3</v>
      </c>
      <c r="D406" s="3" t="n">
        <v>160</v>
      </c>
      <c r="E406" s="3" t="n">
        <v>80</v>
      </c>
    </row>
    <row r="407" customFormat="false" ht="15.75" hidden="false" customHeight="true" outlineLevel="0" collapsed="false">
      <c r="A407" s="4" t="n">
        <v>45849</v>
      </c>
      <c r="B407" s="3" t="n">
        <v>0</v>
      </c>
      <c r="C407" s="3" t="n">
        <v>3.8</v>
      </c>
      <c r="D407" s="3" t="n">
        <v>160</v>
      </c>
      <c r="E407" s="3" t="n">
        <v>80</v>
      </c>
    </row>
    <row r="408" customFormat="false" ht="15.75" hidden="false" customHeight="true" outlineLevel="0" collapsed="false">
      <c r="A408" s="4" t="n">
        <v>45850</v>
      </c>
      <c r="B408" s="3" t="n">
        <v>0</v>
      </c>
      <c r="C408" s="3" t="n">
        <v>4.4</v>
      </c>
      <c r="D408" s="3" t="n">
        <v>160</v>
      </c>
      <c r="E408" s="3" t="n">
        <v>80</v>
      </c>
    </row>
    <row r="409" customFormat="false" ht="15.75" hidden="false" customHeight="true" outlineLevel="0" collapsed="false">
      <c r="A409" s="4" t="n">
        <v>45851</v>
      </c>
      <c r="B409" s="3" t="n">
        <v>0</v>
      </c>
      <c r="C409" s="3" t="n">
        <v>3.4</v>
      </c>
      <c r="D409" s="3" t="n">
        <v>160</v>
      </c>
      <c r="E409" s="3" t="n">
        <v>80</v>
      </c>
    </row>
    <row r="410" customFormat="false" ht="15.75" hidden="false" customHeight="true" outlineLevel="0" collapsed="false">
      <c r="A410" s="4" t="n">
        <v>45852</v>
      </c>
      <c r="B410" s="3" t="n">
        <v>0</v>
      </c>
      <c r="C410" s="3" t="n">
        <v>5.8</v>
      </c>
      <c r="D410" s="3" t="n">
        <v>160</v>
      </c>
      <c r="E410" s="3" t="n">
        <v>80</v>
      </c>
    </row>
    <row r="411" customFormat="false" ht="15.75" hidden="false" customHeight="true" outlineLevel="0" collapsed="false">
      <c r="A411" s="4" t="n">
        <v>45853</v>
      </c>
      <c r="B411" s="3" t="n">
        <v>0</v>
      </c>
      <c r="C411" s="3" t="n">
        <v>3.9</v>
      </c>
      <c r="D411" s="3" t="n">
        <v>160</v>
      </c>
      <c r="E411" s="3" t="n">
        <v>80</v>
      </c>
    </row>
    <row r="412" customFormat="false" ht="15.75" hidden="false" customHeight="true" outlineLevel="0" collapsed="false">
      <c r="A412" s="4" t="n">
        <v>45854</v>
      </c>
      <c r="B412" s="3" t="n">
        <v>0</v>
      </c>
      <c r="C412" s="3" t="n">
        <v>4.8</v>
      </c>
      <c r="D412" s="3" t="n">
        <v>160</v>
      </c>
      <c r="E412" s="3" t="n">
        <v>80</v>
      </c>
    </row>
    <row r="413" customFormat="false" ht="15.75" hidden="false" customHeight="true" outlineLevel="0" collapsed="false">
      <c r="A413" s="4" t="n">
        <v>45855</v>
      </c>
      <c r="B413" s="3" t="n">
        <v>0</v>
      </c>
      <c r="C413" s="3" t="n">
        <v>4.3</v>
      </c>
      <c r="D413" s="3" t="n">
        <v>160</v>
      </c>
      <c r="E413" s="3" t="n">
        <v>80</v>
      </c>
    </row>
    <row r="414" customFormat="false" ht="15.75" hidden="false" customHeight="true" outlineLevel="0" collapsed="false">
      <c r="A414" s="4" t="n">
        <v>45856</v>
      </c>
      <c r="B414" s="3" t="n">
        <v>0</v>
      </c>
      <c r="C414" s="3" t="n">
        <v>4.6</v>
      </c>
      <c r="D414" s="3" t="n">
        <v>160</v>
      </c>
      <c r="E414" s="3" t="n">
        <v>80</v>
      </c>
    </row>
    <row r="415" customFormat="false" ht="15.75" hidden="false" customHeight="true" outlineLevel="0" collapsed="false">
      <c r="A415" s="4" t="n">
        <v>45857</v>
      </c>
      <c r="B415" s="3" t="n">
        <v>0</v>
      </c>
      <c r="C415" s="3" t="n">
        <v>4.6</v>
      </c>
      <c r="D415" s="3" t="n">
        <v>160</v>
      </c>
      <c r="E415" s="3" t="n">
        <v>80</v>
      </c>
    </row>
    <row r="416" customFormat="false" ht="15.75" hidden="false" customHeight="true" outlineLevel="0" collapsed="false">
      <c r="A416" s="4" t="n">
        <v>45858</v>
      </c>
      <c r="B416" s="3" t="n">
        <v>0</v>
      </c>
      <c r="C416" s="3" t="n">
        <v>4.6</v>
      </c>
      <c r="D416" s="3" t="n">
        <v>160</v>
      </c>
      <c r="E416" s="3" t="n">
        <v>80</v>
      </c>
    </row>
    <row r="417" customFormat="false" ht="15.75" hidden="false" customHeight="true" outlineLevel="0" collapsed="false">
      <c r="A417" s="4" t="n">
        <v>45859</v>
      </c>
      <c r="B417" s="3" t="n">
        <v>0</v>
      </c>
      <c r="C417" s="3" t="n">
        <v>4</v>
      </c>
      <c r="D417" s="3" t="n">
        <v>160</v>
      </c>
      <c r="E417" s="3" t="n">
        <v>80</v>
      </c>
    </row>
    <row r="418" customFormat="false" ht="15.75" hidden="false" customHeight="true" outlineLevel="0" collapsed="false">
      <c r="A418" s="4" t="n">
        <v>45860</v>
      </c>
      <c r="B418" s="3" t="n">
        <v>0</v>
      </c>
      <c r="C418" s="3" t="n">
        <v>4.4</v>
      </c>
      <c r="D418" s="3" t="n">
        <v>160</v>
      </c>
      <c r="E418" s="3" t="n">
        <v>80</v>
      </c>
    </row>
    <row r="419" customFormat="false" ht="15.75" hidden="false" customHeight="true" outlineLevel="0" collapsed="false">
      <c r="A419" s="4" t="n">
        <v>45861</v>
      </c>
      <c r="B419" s="3" t="n">
        <v>0</v>
      </c>
      <c r="C419" s="3" t="n">
        <v>3.9</v>
      </c>
      <c r="D419" s="3" t="n">
        <v>160</v>
      </c>
      <c r="E419" s="3" t="n">
        <v>80</v>
      </c>
    </row>
    <row r="420" customFormat="false" ht="15.75" hidden="false" customHeight="true" outlineLevel="0" collapsed="false">
      <c r="A420" s="4" t="n">
        <v>45862</v>
      </c>
      <c r="B420" s="3" t="n">
        <v>0</v>
      </c>
      <c r="C420" s="3" t="n">
        <v>4.6</v>
      </c>
      <c r="D420" s="3" t="n">
        <v>160</v>
      </c>
      <c r="E420" s="3" t="n">
        <v>80</v>
      </c>
    </row>
    <row r="421" customFormat="false" ht="15.75" hidden="false" customHeight="true" outlineLevel="0" collapsed="false">
      <c r="A421" s="4" t="n">
        <v>45863</v>
      </c>
      <c r="B421" s="3" t="n">
        <v>0</v>
      </c>
      <c r="C421" s="3" t="n">
        <v>4.3</v>
      </c>
      <c r="D421" s="3" t="n">
        <v>160</v>
      </c>
      <c r="E421" s="3" t="n">
        <v>80</v>
      </c>
    </row>
    <row r="422" customFormat="false" ht="15.75" hidden="false" customHeight="true" outlineLevel="0" collapsed="false">
      <c r="A422" s="4" t="n">
        <v>45864</v>
      </c>
      <c r="B422" s="3" t="n">
        <v>0</v>
      </c>
      <c r="C422" s="3" t="n">
        <v>4.4</v>
      </c>
      <c r="D422" s="3" t="n">
        <v>160</v>
      </c>
      <c r="E422" s="3" t="n">
        <v>80</v>
      </c>
    </row>
    <row r="423" customFormat="false" ht="15.75" hidden="false" customHeight="true" outlineLevel="0" collapsed="false">
      <c r="A423" s="4" t="n">
        <v>45865</v>
      </c>
      <c r="B423" s="3" t="n">
        <v>0</v>
      </c>
      <c r="C423" s="3" t="n">
        <v>3.9</v>
      </c>
      <c r="D423" s="3" t="n">
        <v>160</v>
      </c>
      <c r="E423" s="3" t="n">
        <v>80</v>
      </c>
    </row>
    <row r="424" customFormat="false" ht="15.75" hidden="false" customHeight="true" outlineLevel="0" collapsed="false">
      <c r="A424" s="4" t="n">
        <v>45866</v>
      </c>
      <c r="B424" s="3" t="n">
        <v>0</v>
      </c>
      <c r="C424" s="3" t="n">
        <v>4</v>
      </c>
      <c r="D424" s="3" t="n">
        <v>160</v>
      </c>
      <c r="E424" s="3" t="n">
        <v>80</v>
      </c>
    </row>
    <row r="425" customFormat="false" ht="15.75" hidden="false" customHeight="true" outlineLevel="0" collapsed="false">
      <c r="A425" s="4" t="n">
        <v>45867</v>
      </c>
      <c r="B425" s="3" t="n">
        <v>0</v>
      </c>
      <c r="C425" s="3" t="n">
        <v>5.5</v>
      </c>
      <c r="D425" s="3" t="n">
        <v>160</v>
      </c>
      <c r="E425" s="3" t="n">
        <v>80</v>
      </c>
    </row>
    <row r="426" customFormat="false" ht="15.75" hidden="false" customHeight="true" outlineLevel="0" collapsed="false">
      <c r="A426" s="4" t="n">
        <v>45868</v>
      </c>
      <c r="B426" s="3" t="n">
        <v>0</v>
      </c>
      <c r="C426" s="3" t="n">
        <v>4.6</v>
      </c>
      <c r="D426" s="3" t="n">
        <v>160</v>
      </c>
      <c r="E426" s="3" t="n">
        <v>80</v>
      </c>
    </row>
    <row r="427" customFormat="false" ht="15.75" hidden="false" customHeight="true" outlineLevel="0" collapsed="false">
      <c r="A427" s="4" t="n">
        <v>45869</v>
      </c>
      <c r="B427" s="3" t="n">
        <v>0</v>
      </c>
      <c r="C427" s="3" t="n">
        <v>3.8</v>
      </c>
      <c r="D427" s="3" t="n">
        <v>160</v>
      </c>
      <c r="E427" s="3" t="n">
        <v>80</v>
      </c>
    </row>
    <row r="428" customFormat="false" ht="15.75" hidden="false" customHeight="true" outlineLevel="0" collapsed="false">
      <c r="A428" s="4" t="n">
        <v>45870</v>
      </c>
      <c r="B428" s="3" t="n">
        <v>0</v>
      </c>
      <c r="C428" s="3" t="n">
        <v>4.2</v>
      </c>
      <c r="D428" s="3" t="n">
        <v>160</v>
      </c>
      <c r="E428" s="3" t="n">
        <v>80</v>
      </c>
    </row>
    <row r="429" customFormat="false" ht="15.75" hidden="false" customHeight="true" outlineLevel="0" collapsed="false">
      <c r="A429" s="4" t="n">
        <v>45871</v>
      </c>
      <c r="B429" s="3" t="n">
        <v>0</v>
      </c>
      <c r="C429" s="3" t="n">
        <v>4.6</v>
      </c>
      <c r="D429" s="3" t="n">
        <v>160</v>
      </c>
      <c r="E429" s="3" t="n">
        <v>80</v>
      </c>
    </row>
    <row r="430" customFormat="false" ht="15.75" hidden="false" customHeight="true" outlineLevel="0" collapsed="false">
      <c r="A430" s="4" t="n">
        <v>45872</v>
      </c>
      <c r="B430" s="3" t="n">
        <v>0</v>
      </c>
      <c r="C430" s="3" t="n">
        <v>4.6</v>
      </c>
      <c r="D430" s="3" t="n">
        <v>160</v>
      </c>
      <c r="E430" s="3" t="n">
        <v>80</v>
      </c>
    </row>
    <row r="431" customFormat="false" ht="15.75" hidden="false" customHeight="true" outlineLevel="0" collapsed="false">
      <c r="A431" s="4" t="n">
        <v>45873</v>
      </c>
      <c r="B431" s="3" t="n">
        <v>0</v>
      </c>
      <c r="C431" s="3" t="n">
        <v>3.9</v>
      </c>
      <c r="D431" s="3" t="n">
        <v>160</v>
      </c>
      <c r="E431" s="3" t="n">
        <v>80</v>
      </c>
    </row>
    <row r="432" customFormat="false" ht="15.75" hidden="false" customHeight="true" outlineLevel="0" collapsed="false">
      <c r="A432" s="4" t="n">
        <v>45874</v>
      </c>
      <c r="B432" s="3" t="n">
        <v>0</v>
      </c>
      <c r="C432" s="3" t="n">
        <v>3.7</v>
      </c>
      <c r="D432" s="3" t="n">
        <v>160</v>
      </c>
      <c r="E432" s="3" t="n">
        <v>80</v>
      </c>
    </row>
    <row r="433" customFormat="false" ht="15.75" hidden="false" customHeight="true" outlineLevel="0" collapsed="false">
      <c r="A433" s="4" t="n">
        <v>45875</v>
      </c>
      <c r="B433" s="3" t="n">
        <v>0</v>
      </c>
      <c r="C433" s="3" t="n">
        <v>4.2</v>
      </c>
      <c r="D433" s="3" t="n">
        <v>160</v>
      </c>
      <c r="E433" s="3" t="n">
        <v>80</v>
      </c>
    </row>
    <row r="434" customFormat="false" ht="15.75" hidden="false" customHeight="true" outlineLevel="0" collapsed="false">
      <c r="A434" s="4" t="n">
        <v>45876</v>
      </c>
      <c r="B434" s="3" t="n">
        <v>0</v>
      </c>
      <c r="C434" s="3" t="n">
        <v>3.8</v>
      </c>
      <c r="D434" s="3" t="n">
        <v>160</v>
      </c>
      <c r="E434" s="3" t="n">
        <v>80</v>
      </c>
    </row>
    <row r="435" customFormat="false" ht="15.75" hidden="false" customHeight="true" outlineLevel="0" collapsed="false">
      <c r="A435" s="4" t="n">
        <v>45877</v>
      </c>
      <c r="B435" s="3" t="n">
        <v>0</v>
      </c>
      <c r="C435" s="3" t="n">
        <v>4.8</v>
      </c>
      <c r="D435" s="3" t="n">
        <v>160</v>
      </c>
      <c r="E435" s="3" t="n">
        <v>80</v>
      </c>
    </row>
    <row r="436" customFormat="false" ht="15.75" hidden="false" customHeight="true" outlineLevel="0" collapsed="false">
      <c r="A436" s="4" t="n">
        <v>45878</v>
      </c>
      <c r="B436" s="3" t="n">
        <v>0</v>
      </c>
      <c r="C436" s="3" t="n">
        <v>4.5</v>
      </c>
      <c r="D436" s="3" t="n">
        <v>160</v>
      </c>
      <c r="E436" s="3" t="n">
        <v>80</v>
      </c>
    </row>
    <row r="437" customFormat="false" ht="15.75" hidden="false" customHeight="true" outlineLevel="0" collapsed="false">
      <c r="A437" s="4" t="n">
        <v>45879</v>
      </c>
      <c r="B437" s="3" t="n">
        <v>0</v>
      </c>
      <c r="C437" s="3" t="n">
        <v>4.7</v>
      </c>
      <c r="D437" s="3" t="n">
        <v>160</v>
      </c>
      <c r="E437" s="3" t="n">
        <v>80</v>
      </c>
    </row>
    <row r="438" customFormat="false" ht="15.75" hidden="false" customHeight="true" outlineLevel="0" collapsed="false">
      <c r="A438" s="4" t="n">
        <v>45880</v>
      </c>
      <c r="B438" s="3" t="n">
        <v>0</v>
      </c>
      <c r="C438" s="3" t="n">
        <v>3.4</v>
      </c>
      <c r="D438" s="3" t="n">
        <v>160</v>
      </c>
      <c r="E438" s="3" t="n">
        <v>80</v>
      </c>
    </row>
    <row r="439" customFormat="false" ht="15.75" hidden="false" customHeight="true" outlineLevel="0" collapsed="false">
      <c r="A439" s="4" t="n">
        <v>45881</v>
      </c>
      <c r="B439" s="3" t="n">
        <v>0</v>
      </c>
      <c r="C439" s="3" t="n">
        <v>4.8</v>
      </c>
      <c r="D439" s="3" t="n">
        <v>160</v>
      </c>
      <c r="E439" s="3" t="n">
        <v>80</v>
      </c>
    </row>
    <row r="440" customFormat="false" ht="15.75" hidden="false" customHeight="true" outlineLevel="0" collapsed="false">
      <c r="A440" s="4" t="n">
        <v>45882</v>
      </c>
      <c r="B440" s="3" t="n">
        <v>0</v>
      </c>
      <c r="C440" s="3" t="n">
        <v>4.1</v>
      </c>
      <c r="D440" s="3" t="n">
        <v>160</v>
      </c>
      <c r="E440" s="3" t="n">
        <v>80</v>
      </c>
    </row>
    <row r="441" customFormat="false" ht="15.75" hidden="false" customHeight="true" outlineLevel="0" collapsed="false">
      <c r="A441" s="4" t="n">
        <v>45883</v>
      </c>
      <c r="B441" s="3" t="n">
        <v>0</v>
      </c>
      <c r="C441" s="3" t="n">
        <v>4</v>
      </c>
      <c r="D441" s="3" t="n">
        <v>160</v>
      </c>
      <c r="E441" s="3" t="n">
        <v>80</v>
      </c>
    </row>
    <row r="442" customFormat="false" ht="15.75" hidden="false" customHeight="true" outlineLevel="0" collapsed="false">
      <c r="A442" s="4" t="n">
        <v>45884</v>
      </c>
      <c r="B442" s="3" t="n">
        <v>0</v>
      </c>
      <c r="C442" s="3" t="n">
        <v>4.8</v>
      </c>
      <c r="D442" s="3" t="n">
        <v>160</v>
      </c>
      <c r="E442" s="3" t="n">
        <v>80</v>
      </c>
    </row>
    <row r="443" customFormat="false" ht="15.75" hidden="false" customHeight="true" outlineLevel="0" collapsed="false">
      <c r="A443" s="4" t="n">
        <v>45885</v>
      </c>
      <c r="B443" s="3" t="n">
        <v>0</v>
      </c>
      <c r="C443" s="3" t="n">
        <v>4.5</v>
      </c>
      <c r="D443" s="3" t="n">
        <v>160</v>
      </c>
      <c r="E443" s="3" t="n">
        <v>80</v>
      </c>
    </row>
    <row r="444" customFormat="false" ht="15.75" hidden="false" customHeight="true" outlineLevel="0" collapsed="false">
      <c r="A444" s="4" t="n">
        <v>45886</v>
      </c>
      <c r="B444" s="3" t="n">
        <v>0</v>
      </c>
      <c r="C444" s="3" t="n">
        <v>4.7</v>
      </c>
      <c r="D444" s="3" t="n">
        <v>160</v>
      </c>
      <c r="E444" s="3" t="n">
        <v>80</v>
      </c>
    </row>
    <row r="445" customFormat="false" ht="15.75" hidden="false" customHeight="true" outlineLevel="0" collapsed="false">
      <c r="A445" s="4" t="n">
        <v>45887</v>
      </c>
      <c r="B445" s="3" t="n">
        <v>0</v>
      </c>
      <c r="C445" s="3" t="n">
        <v>5</v>
      </c>
      <c r="D445" s="3" t="n">
        <v>160</v>
      </c>
      <c r="E445" s="3" t="n">
        <v>80</v>
      </c>
    </row>
    <row r="446" customFormat="false" ht="15.75" hidden="false" customHeight="true" outlineLevel="0" collapsed="false">
      <c r="A446" s="4" t="n">
        <v>45888</v>
      </c>
      <c r="B446" s="3" t="n">
        <v>0</v>
      </c>
      <c r="C446" s="3" t="n">
        <v>4</v>
      </c>
      <c r="D446" s="3" t="n">
        <v>160</v>
      </c>
      <c r="E446" s="3" t="n">
        <v>80</v>
      </c>
    </row>
    <row r="447" customFormat="false" ht="15.75" hidden="false" customHeight="true" outlineLevel="0" collapsed="false">
      <c r="A447" s="4" t="n">
        <v>45889</v>
      </c>
      <c r="B447" s="3" t="n">
        <v>0</v>
      </c>
      <c r="C447" s="3" t="n">
        <v>4.3</v>
      </c>
      <c r="D447" s="3" t="n">
        <v>160</v>
      </c>
      <c r="E447" s="3" t="n">
        <v>80</v>
      </c>
    </row>
    <row r="448" customFormat="false" ht="15.75" hidden="false" customHeight="true" outlineLevel="0" collapsed="false">
      <c r="A448" s="4" t="n">
        <v>45890</v>
      </c>
      <c r="B448" s="3" t="n">
        <v>0</v>
      </c>
      <c r="C448" s="3" t="n">
        <v>4.5</v>
      </c>
      <c r="D448" s="3" t="n">
        <v>160</v>
      </c>
      <c r="E448" s="3" t="n">
        <v>80</v>
      </c>
    </row>
    <row r="449" customFormat="false" ht="15.75" hidden="false" customHeight="true" outlineLevel="0" collapsed="false">
      <c r="A449" s="4" t="n">
        <v>45891</v>
      </c>
      <c r="B449" s="3" t="n">
        <v>0</v>
      </c>
      <c r="C449" s="3" t="n">
        <v>4.6</v>
      </c>
      <c r="D449" s="3" t="n">
        <v>160</v>
      </c>
      <c r="E449" s="3" t="n">
        <v>80</v>
      </c>
    </row>
    <row r="450" customFormat="false" ht="15.75" hidden="false" customHeight="true" outlineLevel="0" collapsed="false">
      <c r="A450" s="4" t="n">
        <v>45892</v>
      </c>
      <c r="B450" s="3" t="n">
        <v>0</v>
      </c>
      <c r="C450" s="3" t="n">
        <v>4.2</v>
      </c>
      <c r="D450" s="3" t="n">
        <v>160</v>
      </c>
      <c r="E450" s="3" t="n">
        <v>80</v>
      </c>
    </row>
    <row r="451" customFormat="false" ht="15.75" hidden="false" customHeight="true" outlineLevel="0" collapsed="false">
      <c r="A451" s="4" t="n">
        <v>45893</v>
      </c>
      <c r="B451" s="3" t="n">
        <v>0</v>
      </c>
      <c r="C451" s="3" t="n">
        <v>4.2</v>
      </c>
      <c r="D451" s="3" t="n">
        <v>160</v>
      </c>
      <c r="E451" s="3" t="n">
        <v>80</v>
      </c>
    </row>
    <row r="452" customFormat="false" ht="15.75" hidden="false" customHeight="true" outlineLevel="0" collapsed="false">
      <c r="A452" s="4" t="n">
        <v>45894</v>
      </c>
      <c r="B452" s="3" t="n">
        <v>0</v>
      </c>
      <c r="C452" s="3" t="n">
        <v>4.1</v>
      </c>
      <c r="D452" s="3" t="n">
        <v>160</v>
      </c>
      <c r="E452" s="3" t="n">
        <v>80</v>
      </c>
    </row>
    <row r="453" customFormat="false" ht="15.75" hidden="false" customHeight="true" outlineLevel="0" collapsed="false">
      <c r="A453" s="4" t="n">
        <v>45895</v>
      </c>
      <c r="B453" s="3" t="n">
        <v>0</v>
      </c>
      <c r="C453" s="3" t="n">
        <v>4.1</v>
      </c>
      <c r="D453" s="3" t="n">
        <v>160</v>
      </c>
      <c r="E453" s="3" t="n">
        <v>80</v>
      </c>
    </row>
    <row r="454" customFormat="false" ht="15.75" hidden="false" customHeight="true" outlineLevel="0" collapsed="false">
      <c r="A454" s="4" t="n">
        <v>45896</v>
      </c>
      <c r="B454" s="3" t="n">
        <v>0</v>
      </c>
      <c r="C454" s="3" t="n">
        <v>4.5</v>
      </c>
      <c r="D454" s="3" t="n">
        <v>160</v>
      </c>
      <c r="E454" s="3" t="n">
        <v>80</v>
      </c>
    </row>
    <row r="455" customFormat="false" ht="15.75" hidden="false" customHeight="true" outlineLevel="0" collapsed="false">
      <c r="A455" s="4" t="n">
        <v>45897</v>
      </c>
      <c r="B455" s="3" t="n">
        <v>0</v>
      </c>
      <c r="C455" s="3" t="n">
        <v>3.8</v>
      </c>
      <c r="D455" s="3" t="n">
        <v>160</v>
      </c>
      <c r="E455" s="3" t="n">
        <v>80</v>
      </c>
    </row>
    <row r="456" customFormat="false" ht="15.75" hidden="false" customHeight="true" outlineLevel="0" collapsed="false">
      <c r="A456" s="4" t="n">
        <v>45898</v>
      </c>
      <c r="B456" s="3" t="n">
        <v>0</v>
      </c>
      <c r="C456" s="3" t="n">
        <v>3.7</v>
      </c>
      <c r="D456" s="3" t="n">
        <v>160</v>
      </c>
      <c r="E456" s="3" t="n">
        <v>80</v>
      </c>
    </row>
    <row r="457" customFormat="false" ht="15.75" hidden="false" customHeight="true" outlineLevel="0" collapsed="false">
      <c r="A457" s="4" t="n">
        <v>45899</v>
      </c>
      <c r="B457" s="3" t="n">
        <v>0</v>
      </c>
      <c r="C457" s="3" t="n">
        <v>3.8</v>
      </c>
      <c r="D457" s="3" t="n">
        <v>160</v>
      </c>
      <c r="E457" s="3" t="n">
        <v>80</v>
      </c>
    </row>
    <row r="458" customFormat="false" ht="15.75" hidden="false" customHeight="true" outlineLevel="0" collapsed="false">
      <c r="A458" s="4" t="n">
        <v>45900</v>
      </c>
      <c r="B458" s="3" t="n">
        <v>0</v>
      </c>
      <c r="C458" s="3" t="n">
        <v>4.8</v>
      </c>
      <c r="D458" s="3" t="n">
        <v>160</v>
      </c>
      <c r="E458" s="3" t="n">
        <v>80</v>
      </c>
    </row>
    <row r="459" customFormat="false" ht="15.75" hidden="false" customHeight="true" outlineLevel="0" collapsed="false">
      <c r="A459" s="4" t="n">
        <v>45901</v>
      </c>
      <c r="B459" s="3" t="n">
        <v>0</v>
      </c>
      <c r="C459" s="3" t="n">
        <v>7.5</v>
      </c>
      <c r="D459" s="3" t="n">
        <v>160</v>
      </c>
      <c r="E459" s="3" t="n">
        <v>80</v>
      </c>
    </row>
    <row r="460" customFormat="false" ht="15.75" hidden="false" customHeight="true" outlineLevel="0" collapsed="false">
      <c r="A460" s="4" t="n">
        <v>45902</v>
      </c>
      <c r="B460" s="3" t="n">
        <v>0</v>
      </c>
      <c r="C460" s="3" t="n">
        <v>7.5</v>
      </c>
      <c r="D460" s="3" t="n">
        <v>160</v>
      </c>
      <c r="E460" s="3" t="n">
        <v>80</v>
      </c>
    </row>
    <row r="461" customFormat="false" ht="15.75" hidden="false" customHeight="true" outlineLevel="0" collapsed="false">
      <c r="A461" s="4" t="n">
        <v>45903</v>
      </c>
      <c r="B461" s="3" t="n">
        <v>0</v>
      </c>
      <c r="C461" s="3" t="n">
        <v>6.7</v>
      </c>
      <c r="D461" s="3" t="n">
        <v>160</v>
      </c>
      <c r="E461" s="3" t="n">
        <v>80</v>
      </c>
    </row>
    <row r="462" customFormat="false" ht="15.75" hidden="false" customHeight="true" outlineLevel="0" collapsed="false">
      <c r="A462" s="4" t="n">
        <v>45904</v>
      </c>
      <c r="B462" s="3" t="n">
        <v>0</v>
      </c>
      <c r="C462" s="3" t="n">
        <v>7.2</v>
      </c>
      <c r="D462" s="3" t="n">
        <v>160</v>
      </c>
      <c r="E462" s="3" t="n">
        <v>80</v>
      </c>
    </row>
    <row r="463" customFormat="false" ht="15.75" hidden="false" customHeight="true" outlineLevel="0" collapsed="false">
      <c r="A463" s="4" t="n">
        <v>45905</v>
      </c>
      <c r="B463" s="3" t="n">
        <v>0</v>
      </c>
      <c r="C463" s="3" t="n">
        <v>8.6</v>
      </c>
      <c r="D463" s="3" t="n">
        <v>160</v>
      </c>
      <c r="E463" s="3" t="n">
        <v>80</v>
      </c>
    </row>
    <row r="464" customFormat="false" ht="15.75" hidden="false" customHeight="true" outlineLevel="0" collapsed="false">
      <c r="A464" s="4" t="n">
        <v>45906</v>
      </c>
      <c r="B464" s="3" t="n">
        <v>0</v>
      </c>
      <c r="C464" s="3" t="n">
        <v>7.7</v>
      </c>
      <c r="D464" s="3" t="n">
        <v>160</v>
      </c>
      <c r="E464" s="3" t="n">
        <v>80</v>
      </c>
    </row>
    <row r="465" customFormat="false" ht="15.75" hidden="false" customHeight="true" outlineLevel="0" collapsed="false">
      <c r="A465" s="4" t="n">
        <v>45907</v>
      </c>
      <c r="B465" s="3" t="n">
        <v>0</v>
      </c>
      <c r="C465" s="3" t="n">
        <v>8.2</v>
      </c>
      <c r="D465" s="3" t="n">
        <v>160</v>
      </c>
      <c r="E465" s="3" t="n">
        <v>80</v>
      </c>
    </row>
    <row r="466" customFormat="false" ht="15.75" hidden="false" customHeight="true" outlineLevel="0" collapsed="false">
      <c r="A466" s="4" t="n">
        <v>45908</v>
      </c>
      <c r="B466" s="3" t="n">
        <v>0</v>
      </c>
      <c r="C466" s="3" t="n">
        <v>7.4</v>
      </c>
      <c r="D466" s="3" t="n">
        <v>160</v>
      </c>
      <c r="E466" s="3" t="n">
        <v>80</v>
      </c>
    </row>
    <row r="467" customFormat="false" ht="15.75" hidden="false" customHeight="true" outlineLevel="0" collapsed="false">
      <c r="A467" s="4" t="n">
        <v>45909</v>
      </c>
      <c r="B467" s="3" t="n">
        <v>0</v>
      </c>
      <c r="C467" s="3" t="n">
        <v>7.2</v>
      </c>
      <c r="D467" s="3" t="n">
        <v>160</v>
      </c>
      <c r="E467" s="3" t="n">
        <v>80</v>
      </c>
    </row>
    <row r="468" customFormat="false" ht="15.75" hidden="false" customHeight="true" outlineLevel="0" collapsed="false">
      <c r="A468" s="4" t="n">
        <v>45910</v>
      </c>
      <c r="B468" s="3" t="n">
        <v>5.2</v>
      </c>
      <c r="C468" s="3" t="n">
        <v>7.8</v>
      </c>
      <c r="D468" s="3" t="n">
        <v>160</v>
      </c>
      <c r="E468" s="3" t="n">
        <v>80</v>
      </c>
    </row>
    <row r="469" customFormat="false" ht="15.75" hidden="false" customHeight="true" outlineLevel="0" collapsed="false">
      <c r="A469" s="4" t="n">
        <v>45911</v>
      </c>
      <c r="B469" s="3" t="n">
        <v>0</v>
      </c>
      <c r="C469" s="3" t="n">
        <v>8.7</v>
      </c>
      <c r="D469" s="3" t="n">
        <v>160</v>
      </c>
      <c r="E469" s="3" t="n">
        <v>80</v>
      </c>
    </row>
    <row r="470" customFormat="false" ht="15.75" hidden="false" customHeight="true" outlineLevel="0" collapsed="false">
      <c r="A470" s="4" t="n">
        <v>45912</v>
      </c>
      <c r="B470" s="3" t="n">
        <v>0</v>
      </c>
      <c r="C470" s="3" t="n">
        <v>9.1</v>
      </c>
      <c r="D470" s="3" t="n">
        <v>160</v>
      </c>
      <c r="E470" s="3" t="n">
        <v>80</v>
      </c>
    </row>
    <row r="471" customFormat="false" ht="15.75" hidden="false" customHeight="true" outlineLevel="0" collapsed="false">
      <c r="A471" s="4" t="n">
        <v>45913</v>
      </c>
      <c r="B471" s="3" t="n">
        <v>0</v>
      </c>
      <c r="C471" s="3" t="n">
        <v>7.2</v>
      </c>
      <c r="D471" s="3" t="n">
        <v>160</v>
      </c>
      <c r="E471" s="3" t="n">
        <v>80</v>
      </c>
    </row>
    <row r="472" customFormat="false" ht="15.75" hidden="false" customHeight="true" outlineLevel="0" collapsed="false">
      <c r="A472" s="4" t="n">
        <v>45914</v>
      </c>
      <c r="B472" s="3" t="n">
        <v>0</v>
      </c>
      <c r="C472" s="3" t="n">
        <v>7.5</v>
      </c>
      <c r="D472" s="3" t="n">
        <v>160</v>
      </c>
      <c r="E472" s="3" t="n">
        <v>80</v>
      </c>
    </row>
    <row r="473" customFormat="false" ht="15.75" hidden="false" customHeight="true" outlineLevel="0" collapsed="false">
      <c r="A473" s="4" t="n">
        <v>45915</v>
      </c>
      <c r="B473" s="3" t="n">
        <v>0</v>
      </c>
      <c r="C473" s="3" t="n">
        <v>6.7</v>
      </c>
      <c r="D473" s="3" t="n">
        <v>160</v>
      </c>
      <c r="E473" s="3" t="n">
        <v>80</v>
      </c>
    </row>
    <row r="474" customFormat="false" ht="15.75" hidden="false" customHeight="true" outlineLevel="0" collapsed="false">
      <c r="A474" s="4" t="n">
        <v>45916</v>
      </c>
      <c r="B474" s="3" t="n">
        <v>0</v>
      </c>
      <c r="C474" s="3" t="n">
        <v>8.6</v>
      </c>
      <c r="D474" s="3" t="n">
        <v>160</v>
      </c>
      <c r="E474" s="3" t="n">
        <v>80</v>
      </c>
    </row>
    <row r="475" customFormat="false" ht="15.75" hidden="false" customHeight="true" outlineLevel="0" collapsed="false">
      <c r="A475" s="4" t="n">
        <v>45917</v>
      </c>
      <c r="B475" s="3" t="n">
        <v>4.9</v>
      </c>
      <c r="C475" s="3" t="n">
        <v>7.8</v>
      </c>
      <c r="D475" s="3" t="n">
        <v>160</v>
      </c>
      <c r="E475" s="3" t="n">
        <v>80</v>
      </c>
    </row>
    <row r="476" customFormat="false" ht="15.75" hidden="false" customHeight="true" outlineLevel="0" collapsed="false">
      <c r="A476" s="4" t="n">
        <v>45918</v>
      </c>
      <c r="B476" s="3" t="n">
        <v>0</v>
      </c>
      <c r="C476" s="3" t="n">
        <v>8.1</v>
      </c>
      <c r="D476" s="3" t="n">
        <v>160</v>
      </c>
      <c r="E476" s="3" t="n">
        <v>80</v>
      </c>
    </row>
    <row r="477" customFormat="false" ht="15.75" hidden="false" customHeight="true" outlineLevel="0" collapsed="false">
      <c r="A477" s="4" t="n">
        <v>45919</v>
      </c>
      <c r="B477" s="3" t="n">
        <v>6.6</v>
      </c>
      <c r="C477" s="3" t="n">
        <v>7</v>
      </c>
      <c r="D477" s="3" t="n">
        <v>160</v>
      </c>
      <c r="E477" s="3" t="n">
        <v>80</v>
      </c>
    </row>
    <row r="478" customFormat="false" ht="15.75" hidden="false" customHeight="true" outlineLevel="0" collapsed="false">
      <c r="A478" s="4" t="n">
        <v>45920</v>
      </c>
      <c r="B478" s="3" t="n">
        <v>0</v>
      </c>
      <c r="C478" s="3" t="n">
        <v>7.7</v>
      </c>
      <c r="D478" s="3" t="n">
        <v>160</v>
      </c>
      <c r="E478" s="3" t="n">
        <v>80</v>
      </c>
    </row>
    <row r="479" customFormat="false" ht="15.75" hidden="false" customHeight="true" outlineLevel="0" collapsed="false">
      <c r="A479" s="4" t="n">
        <v>45921</v>
      </c>
      <c r="B479" s="3" t="n">
        <v>0</v>
      </c>
      <c r="C479" s="3" t="n">
        <v>7.3</v>
      </c>
      <c r="D479" s="3" t="n">
        <v>160</v>
      </c>
      <c r="E479" s="3" t="n">
        <v>80</v>
      </c>
    </row>
    <row r="480" customFormat="false" ht="15.75" hidden="false" customHeight="true" outlineLevel="0" collapsed="false">
      <c r="A480" s="4" t="n">
        <v>45922</v>
      </c>
      <c r="B480" s="3" t="n">
        <v>0</v>
      </c>
      <c r="C480" s="3" t="n">
        <v>6.7</v>
      </c>
      <c r="D480" s="3" t="n">
        <v>160</v>
      </c>
      <c r="E480" s="3" t="n">
        <v>80</v>
      </c>
    </row>
    <row r="481" customFormat="false" ht="15.75" hidden="false" customHeight="true" outlineLevel="0" collapsed="false">
      <c r="A481" s="4" t="n">
        <v>45923</v>
      </c>
      <c r="B481" s="3" t="n">
        <v>0</v>
      </c>
      <c r="C481" s="3" t="n">
        <v>7.1</v>
      </c>
      <c r="D481" s="3" t="n">
        <v>160</v>
      </c>
      <c r="E481" s="3" t="n">
        <v>80</v>
      </c>
    </row>
    <row r="482" customFormat="false" ht="15.75" hidden="false" customHeight="true" outlineLevel="0" collapsed="false">
      <c r="A482" s="4" t="n">
        <v>45924</v>
      </c>
      <c r="B482" s="3" t="n">
        <v>3.2</v>
      </c>
      <c r="C482" s="3" t="n">
        <v>7.7</v>
      </c>
      <c r="D482" s="3" t="n">
        <v>160</v>
      </c>
      <c r="E482" s="3" t="n">
        <v>80</v>
      </c>
    </row>
    <row r="483" customFormat="false" ht="15.75" hidden="false" customHeight="true" outlineLevel="0" collapsed="false">
      <c r="A483" s="4" t="n">
        <v>45925</v>
      </c>
      <c r="B483" s="3" t="n">
        <v>0</v>
      </c>
      <c r="C483" s="3" t="n">
        <v>7.4</v>
      </c>
      <c r="D483" s="3" t="n">
        <v>160</v>
      </c>
      <c r="E483" s="3" t="n">
        <v>80</v>
      </c>
    </row>
    <row r="484" customFormat="false" ht="15.75" hidden="false" customHeight="true" outlineLevel="0" collapsed="false">
      <c r="A484" s="4" t="n">
        <v>45926</v>
      </c>
      <c r="B484" s="3" t="n">
        <v>0</v>
      </c>
      <c r="C484" s="3" t="n">
        <v>6.9</v>
      </c>
      <c r="D484" s="3" t="n">
        <v>160</v>
      </c>
      <c r="E484" s="3" t="n">
        <v>80</v>
      </c>
    </row>
    <row r="485" customFormat="false" ht="15.75" hidden="false" customHeight="true" outlineLevel="0" collapsed="false">
      <c r="A485" s="4" t="n">
        <v>45927</v>
      </c>
      <c r="B485" s="3" t="n">
        <v>0</v>
      </c>
      <c r="C485" s="3" t="n">
        <v>6.9</v>
      </c>
      <c r="D485" s="3" t="n">
        <v>160</v>
      </c>
      <c r="E485" s="3" t="n">
        <v>80</v>
      </c>
    </row>
    <row r="486" customFormat="false" ht="15.75" hidden="false" customHeight="true" outlineLevel="0" collapsed="false">
      <c r="A486" s="4" t="n">
        <v>45928</v>
      </c>
      <c r="B486" s="3" t="n">
        <v>0</v>
      </c>
      <c r="C486" s="3" t="n">
        <v>6.5</v>
      </c>
      <c r="D486" s="3" t="n">
        <v>160</v>
      </c>
      <c r="E486" s="3" t="n">
        <v>80</v>
      </c>
    </row>
    <row r="487" customFormat="false" ht="15.75" hidden="false" customHeight="true" outlineLevel="0" collapsed="false">
      <c r="A487" s="4" t="n">
        <v>45929</v>
      </c>
      <c r="B487" s="3" t="n">
        <v>0</v>
      </c>
      <c r="C487" s="3" t="n">
        <v>6.1</v>
      </c>
      <c r="D487" s="3" t="n">
        <v>160</v>
      </c>
      <c r="E487" s="3" t="n">
        <v>80</v>
      </c>
    </row>
    <row r="488" customFormat="false" ht="15.75" hidden="false" customHeight="true" outlineLevel="0" collapsed="false">
      <c r="A488" s="4" t="n">
        <v>45930</v>
      </c>
      <c r="B488" s="3" t="n">
        <v>3.8</v>
      </c>
      <c r="C488" s="3" t="n">
        <v>5.9</v>
      </c>
      <c r="D488" s="3" t="n">
        <v>160</v>
      </c>
      <c r="E488" s="3" t="n">
        <v>80</v>
      </c>
    </row>
    <row r="489" customFormat="false" ht="15.75" hidden="false" customHeight="true" outlineLevel="0" collapsed="false">
      <c r="A489" s="4" t="n">
        <v>45931</v>
      </c>
      <c r="B489" s="3" t="n">
        <v>0</v>
      </c>
      <c r="C489" s="3" t="n">
        <v>6.6</v>
      </c>
      <c r="D489" s="3" t="n">
        <v>160</v>
      </c>
      <c r="E489" s="3" t="n">
        <v>80</v>
      </c>
    </row>
    <row r="490" customFormat="false" ht="15.75" hidden="false" customHeight="true" outlineLevel="0" collapsed="false">
      <c r="A490" s="4" t="n">
        <v>45932</v>
      </c>
      <c r="B490" s="3" t="n">
        <v>0</v>
      </c>
      <c r="C490" s="3" t="n">
        <v>8.1</v>
      </c>
      <c r="D490" s="3" t="n">
        <v>160</v>
      </c>
      <c r="E490" s="3" t="n">
        <v>80</v>
      </c>
    </row>
    <row r="491" customFormat="false" ht="15.75" hidden="false" customHeight="true" outlineLevel="0" collapsed="false">
      <c r="A491" s="4" t="n">
        <v>45933</v>
      </c>
      <c r="B491" s="3" t="n">
        <v>0</v>
      </c>
      <c r="C491" s="3" t="n">
        <v>6.7</v>
      </c>
      <c r="D491" s="3" t="n">
        <v>160</v>
      </c>
      <c r="E491" s="3" t="n">
        <v>80</v>
      </c>
    </row>
    <row r="492" customFormat="false" ht="15.75" hidden="false" customHeight="true" outlineLevel="0" collapsed="false">
      <c r="A492" s="4" t="n">
        <v>45934</v>
      </c>
      <c r="B492" s="3" t="n">
        <v>0</v>
      </c>
      <c r="C492" s="3" t="n">
        <v>5.4</v>
      </c>
      <c r="D492" s="3" t="n">
        <v>160</v>
      </c>
      <c r="E492" s="3" t="n">
        <v>80</v>
      </c>
    </row>
    <row r="493" customFormat="false" ht="15.75" hidden="false" customHeight="true" outlineLevel="0" collapsed="false">
      <c r="A493" s="4" t="n">
        <v>45935</v>
      </c>
      <c r="B493" s="3" t="n">
        <v>0</v>
      </c>
      <c r="C493" s="3" t="n">
        <v>6</v>
      </c>
      <c r="D493" s="3" t="n">
        <v>160</v>
      </c>
      <c r="E493" s="3" t="n">
        <v>80</v>
      </c>
    </row>
    <row r="494" customFormat="false" ht="15.75" hidden="false" customHeight="true" outlineLevel="0" collapsed="false">
      <c r="A494" s="4" t="n">
        <v>45936</v>
      </c>
      <c r="B494" s="3" t="n">
        <v>0</v>
      </c>
      <c r="C494" s="3" t="n">
        <v>5.3</v>
      </c>
      <c r="D494" s="3" t="n">
        <v>160</v>
      </c>
      <c r="E494" s="3" t="n">
        <v>80</v>
      </c>
    </row>
    <row r="495" customFormat="false" ht="15.75" hidden="false" customHeight="true" outlineLevel="0" collapsed="false">
      <c r="A495" s="4" t="n">
        <v>45937</v>
      </c>
      <c r="B495" s="3" t="n">
        <v>19.5</v>
      </c>
      <c r="C495" s="3" t="n">
        <v>7</v>
      </c>
      <c r="D495" s="3" t="n">
        <v>160</v>
      </c>
      <c r="E495" s="3" t="n">
        <v>80</v>
      </c>
    </row>
    <row r="496" customFormat="false" ht="15.75" hidden="false" customHeight="true" outlineLevel="0" collapsed="false">
      <c r="A496" s="4" t="n">
        <v>45938</v>
      </c>
      <c r="B496" s="3" t="n">
        <v>54.9</v>
      </c>
      <c r="C496" s="3" t="n">
        <v>6.9</v>
      </c>
      <c r="D496" s="3" t="n">
        <v>160</v>
      </c>
      <c r="E496" s="3" t="n">
        <v>80</v>
      </c>
    </row>
    <row r="497" customFormat="false" ht="15.75" hidden="false" customHeight="true" outlineLevel="0" collapsed="false">
      <c r="A497" s="4" t="n">
        <v>45939</v>
      </c>
      <c r="B497" s="3" t="n">
        <v>0</v>
      </c>
      <c r="C497" s="3" t="n">
        <v>7.4</v>
      </c>
      <c r="D497" s="3" t="n">
        <v>160</v>
      </c>
      <c r="E497" s="3" t="n">
        <v>80</v>
      </c>
    </row>
    <row r="498" customFormat="false" ht="15.75" hidden="false" customHeight="true" outlineLevel="0" collapsed="false">
      <c r="A498" s="4" t="n">
        <v>45940</v>
      </c>
      <c r="B498" s="3" t="n">
        <v>0</v>
      </c>
      <c r="C498" s="3" t="n">
        <v>5.7</v>
      </c>
      <c r="D498" s="3" t="n">
        <v>160</v>
      </c>
      <c r="E498" s="3" t="n">
        <v>80</v>
      </c>
    </row>
    <row r="499" customFormat="false" ht="15.75" hidden="false" customHeight="true" outlineLevel="0" collapsed="false">
      <c r="A499" s="4" t="n">
        <v>45941</v>
      </c>
      <c r="B499" s="3" t="n">
        <v>0</v>
      </c>
      <c r="C499" s="3" t="n">
        <v>6.1</v>
      </c>
      <c r="D499" s="3" t="n">
        <v>160</v>
      </c>
      <c r="E499" s="3" t="n">
        <v>80</v>
      </c>
    </row>
    <row r="500" customFormat="false" ht="15.75" hidden="false" customHeight="true" outlineLevel="0" collapsed="false">
      <c r="A500" s="4" t="n">
        <v>45942</v>
      </c>
      <c r="B500" s="3" t="n">
        <v>7.7</v>
      </c>
      <c r="C500" s="3" t="n">
        <v>6.8</v>
      </c>
      <c r="D500" s="3" t="n">
        <v>160</v>
      </c>
      <c r="E500" s="3" t="n">
        <v>80</v>
      </c>
    </row>
    <row r="501" customFormat="false" ht="15.75" hidden="false" customHeight="true" outlineLevel="0" collapsed="false">
      <c r="A501" s="4" t="n">
        <v>45943</v>
      </c>
      <c r="B501" s="3" t="n">
        <v>0</v>
      </c>
      <c r="C501" s="3" t="n">
        <v>6.4</v>
      </c>
      <c r="D501" s="3" t="n">
        <v>160</v>
      </c>
      <c r="E501" s="3" t="n">
        <v>80</v>
      </c>
    </row>
    <row r="502" customFormat="false" ht="15.75" hidden="false" customHeight="true" outlineLevel="0" collapsed="false">
      <c r="A502" s="4" t="n">
        <v>45944</v>
      </c>
      <c r="B502" s="3" t="n">
        <v>33.3</v>
      </c>
      <c r="C502" s="3" t="n">
        <v>6.2</v>
      </c>
      <c r="D502" s="3" t="n">
        <v>160</v>
      </c>
      <c r="E502" s="3" t="n">
        <v>80</v>
      </c>
    </row>
    <row r="503" customFormat="false" ht="15.75" hidden="false" customHeight="true" outlineLevel="0" collapsed="false">
      <c r="A503" s="4" t="n">
        <v>45945</v>
      </c>
      <c r="B503" s="3" t="n">
        <v>14.1</v>
      </c>
      <c r="C503" s="3" t="n">
        <v>6.7</v>
      </c>
      <c r="D503" s="3" t="n">
        <v>160</v>
      </c>
      <c r="E503" s="3" t="n">
        <v>80</v>
      </c>
    </row>
    <row r="504" customFormat="false" ht="15.75" hidden="false" customHeight="true" outlineLevel="0" collapsed="false">
      <c r="A504" s="4" t="n">
        <v>45946</v>
      </c>
      <c r="B504" s="3" t="n">
        <v>0</v>
      </c>
      <c r="C504" s="3" t="n">
        <v>5.8</v>
      </c>
      <c r="D504" s="3" t="n">
        <v>160</v>
      </c>
      <c r="E504" s="3" t="n">
        <v>80</v>
      </c>
    </row>
    <row r="505" customFormat="false" ht="15.75" hidden="false" customHeight="true" outlineLevel="0" collapsed="false">
      <c r="A505" s="4" t="n">
        <v>45947</v>
      </c>
      <c r="B505" s="3" t="n">
        <v>5.2</v>
      </c>
      <c r="C505" s="3" t="n">
        <v>6.8</v>
      </c>
      <c r="D505" s="3" t="n">
        <v>160</v>
      </c>
      <c r="E505" s="3" t="n">
        <v>80</v>
      </c>
    </row>
    <row r="506" customFormat="false" ht="15.75" hidden="false" customHeight="true" outlineLevel="0" collapsed="false">
      <c r="A506" s="4" t="n">
        <v>45948</v>
      </c>
      <c r="B506" s="3" t="n">
        <v>0</v>
      </c>
      <c r="C506" s="3" t="n">
        <v>5.8</v>
      </c>
      <c r="D506" s="3" t="n">
        <v>160</v>
      </c>
      <c r="E506" s="3" t="n">
        <v>80</v>
      </c>
    </row>
    <row r="507" customFormat="false" ht="15.75" hidden="false" customHeight="true" outlineLevel="0" collapsed="false">
      <c r="A507" s="4" t="n">
        <v>45949</v>
      </c>
      <c r="B507" s="3" t="n">
        <v>25</v>
      </c>
      <c r="C507" s="3" t="n">
        <v>6.3</v>
      </c>
      <c r="D507" s="3" t="n">
        <v>160</v>
      </c>
      <c r="E507" s="3" t="n">
        <v>80</v>
      </c>
    </row>
    <row r="508" customFormat="false" ht="15.75" hidden="false" customHeight="true" outlineLevel="0" collapsed="false">
      <c r="A508" s="4" t="n">
        <v>45950</v>
      </c>
      <c r="B508" s="3" t="n">
        <v>0</v>
      </c>
      <c r="C508" s="3" t="n">
        <v>5.7</v>
      </c>
      <c r="D508" s="3" t="n">
        <v>160</v>
      </c>
      <c r="E508" s="3" t="n">
        <v>80</v>
      </c>
    </row>
    <row r="509" customFormat="false" ht="15.75" hidden="false" customHeight="true" outlineLevel="0" collapsed="false">
      <c r="A509" s="4" t="n">
        <v>45951</v>
      </c>
      <c r="B509" s="3" t="n">
        <v>0</v>
      </c>
      <c r="C509" s="3" t="n">
        <v>5.3</v>
      </c>
      <c r="D509" s="3" t="n">
        <v>160</v>
      </c>
      <c r="E509" s="3" t="n">
        <v>80</v>
      </c>
    </row>
    <row r="510" customFormat="false" ht="15.75" hidden="false" customHeight="true" outlineLevel="0" collapsed="false">
      <c r="A510" s="4" t="n">
        <v>45952</v>
      </c>
      <c r="B510" s="3" t="n">
        <v>0</v>
      </c>
      <c r="C510" s="3" t="n">
        <v>5.7</v>
      </c>
      <c r="D510" s="3" t="n">
        <v>160</v>
      </c>
      <c r="E510" s="3" t="n">
        <v>80</v>
      </c>
    </row>
    <row r="511" customFormat="false" ht="15.75" hidden="false" customHeight="true" outlineLevel="0" collapsed="false">
      <c r="A511" s="4" t="n">
        <v>45953</v>
      </c>
      <c r="B511" s="3" t="n">
        <v>0.6</v>
      </c>
      <c r="C511" s="3" t="n">
        <v>6.5</v>
      </c>
      <c r="D511" s="3" t="n">
        <v>160</v>
      </c>
      <c r="E511" s="3" t="n">
        <v>80</v>
      </c>
    </row>
    <row r="512" customFormat="false" ht="15.75" hidden="false" customHeight="true" outlineLevel="0" collapsed="false">
      <c r="A512" s="4" t="n">
        <v>45954</v>
      </c>
      <c r="B512" s="3" t="n">
        <v>0</v>
      </c>
      <c r="C512" s="3" t="n">
        <v>5.7</v>
      </c>
      <c r="D512" s="3" t="n">
        <v>160</v>
      </c>
      <c r="E512" s="3" t="n">
        <v>80</v>
      </c>
    </row>
    <row r="513" customFormat="false" ht="15.75" hidden="false" customHeight="true" outlineLevel="0" collapsed="false">
      <c r="A513" s="4" t="n">
        <v>45955</v>
      </c>
      <c r="B513" s="3" t="n">
        <v>5.8</v>
      </c>
      <c r="C513" s="3" t="n">
        <v>5.9</v>
      </c>
      <c r="D513" s="3" t="n">
        <v>160</v>
      </c>
      <c r="E513" s="3" t="n">
        <v>80</v>
      </c>
    </row>
    <row r="514" customFormat="false" ht="15.75" hidden="false" customHeight="true" outlineLevel="0" collapsed="false">
      <c r="A514" s="4" t="n">
        <v>45956</v>
      </c>
      <c r="B514" s="3" t="n">
        <v>0</v>
      </c>
      <c r="C514" s="3" t="n">
        <v>6.3</v>
      </c>
      <c r="D514" s="3" t="n">
        <v>160</v>
      </c>
      <c r="E514" s="3" t="n">
        <v>80</v>
      </c>
    </row>
    <row r="515" customFormat="false" ht="15.75" hidden="false" customHeight="true" outlineLevel="0" collapsed="false">
      <c r="A515" s="4" t="n">
        <v>45957</v>
      </c>
      <c r="B515" s="3" t="n">
        <v>0</v>
      </c>
      <c r="C515" s="3" t="n">
        <v>5.7</v>
      </c>
      <c r="D515" s="3" t="n">
        <v>160</v>
      </c>
      <c r="E515" s="3" t="n">
        <v>80</v>
      </c>
    </row>
    <row r="516" customFormat="false" ht="15.75" hidden="false" customHeight="true" outlineLevel="0" collapsed="false">
      <c r="A516" s="4" t="n">
        <v>45958</v>
      </c>
      <c r="B516" s="3" t="n">
        <v>0</v>
      </c>
      <c r="C516" s="3" t="n">
        <v>5.3</v>
      </c>
      <c r="D516" s="3" t="n">
        <v>160</v>
      </c>
      <c r="E516" s="3" t="n">
        <v>80</v>
      </c>
    </row>
    <row r="517" customFormat="false" ht="15.75" hidden="false" customHeight="true" outlineLevel="0" collapsed="false">
      <c r="A517" s="4" t="n">
        <v>45959</v>
      </c>
      <c r="B517" s="3" t="n">
        <v>0</v>
      </c>
      <c r="C517" s="3" t="n">
        <v>5.2</v>
      </c>
      <c r="D517" s="3" t="n">
        <v>160</v>
      </c>
      <c r="E517" s="3" t="n">
        <v>80</v>
      </c>
    </row>
    <row r="518" customFormat="false" ht="15.75" hidden="false" customHeight="true" outlineLevel="0" collapsed="false">
      <c r="A518" s="4" t="n">
        <v>45960</v>
      </c>
      <c r="B518" s="3" t="n">
        <v>0</v>
      </c>
      <c r="C518" s="3" t="n">
        <v>5.5</v>
      </c>
      <c r="D518" s="3" t="n">
        <v>160</v>
      </c>
      <c r="E518" s="3" t="n">
        <v>80</v>
      </c>
    </row>
    <row r="519" customFormat="false" ht="15.75" hidden="false" customHeight="true" outlineLevel="0" collapsed="false">
      <c r="A519" s="4" t="n">
        <v>45961</v>
      </c>
      <c r="B519" s="3" t="n">
        <v>0</v>
      </c>
      <c r="C519" s="3" t="n">
        <v>4.7</v>
      </c>
      <c r="D519" s="3" t="n">
        <v>160</v>
      </c>
      <c r="E519" s="3" t="n">
        <v>80</v>
      </c>
    </row>
    <row r="520" customFormat="false" ht="15.75" hidden="false" customHeight="true" outlineLevel="0" collapsed="false">
      <c r="A520" s="4" t="n">
        <v>45962</v>
      </c>
      <c r="B520" s="3" t="n">
        <v>60</v>
      </c>
      <c r="C520" s="3" t="n">
        <v>4.4</v>
      </c>
      <c r="D520" s="3" t="n">
        <v>160</v>
      </c>
      <c r="E520" s="3" t="n">
        <v>80</v>
      </c>
    </row>
    <row r="521" customFormat="false" ht="15.75" hidden="false" customHeight="true" outlineLevel="0" collapsed="false">
      <c r="A521" s="4" t="n">
        <v>45963</v>
      </c>
      <c r="B521" s="3" t="n">
        <v>0</v>
      </c>
      <c r="C521" s="3" t="n">
        <v>4.4</v>
      </c>
      <c r="D521" s="3" t="n">
        <v>160</v>
      </c>
      <c r="E521" s="3" t="n">
        <v>80</v>
      </c>
    </row>
    <row r="522" customFormat="false" ht="15.75" hidden="false" customHeight="true" outlineLevel="0" collapsed="false">
      <c r="A522" s="4" t="n">
        <v>45964</v>
      </c>
      <c r="B522" s="3" t="n">
        <v>0</v>
      </c>
      <c r="C522" s="3" t="n">
        <v>3.3</v>
      </c>
      <c r="D522" s="3" t="n">
        <v>160</v>
      </c>
      <c r="E522" s="3" t="n">
        <v>80</v>
      </c>
    </row>
    <row r="523" customFormat="false" ht="15.75" hidden="false" customHeight="true" outlineLevel="0" collapsed="false">
      <c r="A523" s="4" t="n">
        <v>45965</v>
      </c>
      <c r="B523" s="3" t="n">
        <v>4.9</v>
      </c>
      <c r="C523" s="3" t="n">
        <v>3.6</v>
      </c>
      <c r="D523" s="3" t="n">
        <v>160</v>
      </c>
      <c r="E523" s="3" t="n">
        <v>80</v>
      </c>
    </row>
    <row r="524" customFormat="false" ht="15.75" hidden="false" customHeight="true" outlineLevel="0" collapsed="false">
      <c r="A524" s="4" t="n">
        <v>45966</v>
      </c>
      <c r="B524" s="3" t="n">
        <v>35.9</v>
      </c>
      <c r="C524" s="3" t="n">
        <v>3.2</v>
      </c>
      <c r="D524" s="3" t="n">
        <v>160</v>
      </c>
      <c r="E524" s="3" t="n">
        <v>80</v>
      </c>
    </row>
    <row r="525" customFormat="false" ht="15.75" hidden="false" customHeight="true" outlineLevel="0" collapsed="false">
      <c r="A525" s="4" t="n">
        <v>45967</v>
      </c>
      <c r="B525" s="3" t="n">
        <v>5.2</v>
      </c>
      <c r="C525" s="3" t="n">
        <v>4.2</v>
      </c>
      <c r="D525" s="3" t="n">
        <v>160</v>
      </c>
      <c r="E525" s="3" t="n">
        <v>80</v>
      </c>
    </row>
    <row r="526" customFormat="false" ht="15.75" hidden="false" customHeight="true" outlineLevel="0" collapsed="false">
      <c r="A526" s="4" t="n">
        <v>45968</v>
      </c>
      <c r="B526" s="3" t="n">
        <v>26.6</v>
      </c>
      <c r="C526" s="3" t="n">
        <v>4.4</v>
      </c>
      <c r="D526" s="3" t="n">
        <v>160</v>
      </c>
      <c r="E526" s="3" t="n">
        <v>80</v>
      </c>
    </row>
    <row r="527" customFormat="false" ht="15.75" hidden="false" customHeight="true" outlineLevel="0" collapsed="false">
      <c r="A527" s="4" t="n">
        <v>45969</v>
      </c>
      <c r="B527" s="3" t="n">
        <v>0</v>
      </c>
      <c r="C527" s="3" t="n">
        <v>3.9</v>
      </c>
      <c r="D527" s="3" t="n">
        <v>160</v>
      </c>
      <c r="E527" s="3" t="n">
        <v>80</v>
      </c>
    </row>
    <row r="528" customFormat="false" ht="15.75" hidden="false" customHeight="true" outlineLevel="0" collapsed="false">
      <c r="A528" s="4" t="n">
        <v>45970</v>
      </c>
      <c r="B528" s="3" t="n">
        <v>0</v>
      </c>
      <c r="C528" s="3" t="n">
        <v>3</v>
      </c>
      <c r="D528" s="3" t="n">
        <v>160</v>
      </c>
      <c r="E528" s="3" t="n">
        <v>80</v>
      </c>
    </row>
    <row r="529" customFormat="false" ht="15.75" hidden="false" customHeight="true" outlineLevel="0" collapsed="false">
      <c r="A529" s="4" t="n">
        <v>45971</v>
      </c>
      <c r="B529" s="3" t="n">
        <v>2.7</v>
      </c>
      <c r="C529" s="3" t="n">
        <v>4.7</v>
      </c>
      <c r="D529" s="3" t="n">
        <v>160</v>
      </c>
      <c r="E529" s="3" t="n">
        <v>80</v>
      </c>
    </row>
    <row r="530" customFormat="false" ht="15.75" hidden="false" customHeight="true" outlineLevel="0" collapsed="false">
      <c r="A530" s="4" t="n">
        <v>45972</v>
      </c>
      <c r="B530" s="3" t="n">
        <v>35.6</v>
      </c>
      <c r="C530" s="3" t="n">
        <v>3.6</v>
      </c>
      <c r="D530" s="3" t="n">
        <v>160</v>
      </c>
      <c r="E530" s="3" t="n">
        <v>80</v>
      </c>
    </row>
    <row r="531" customFormat="false" ht="15.75" hidden="false" customHeight="true" outlineLevel="0" collapsed="false">
      <c r="A531" s="4" t="n">
        <v>45973</v>
      </c>
      <c r="B531" s="3" t="n">
        <v>0</v>
      </c>
      <c r="C531" s="3" t="n">
        <v>3.8</v>
      </c>
      <c r="D531" s="3" t="n">
        <v>160</v>
      </c>
      <c r="E531" s="3" t="n">
        <v>80</v>
      </c>
    </row>
    <row r="532" customFormat="false" ht="15.75" hidden="false" customHeight="true" outlineLevel="0" collapsed="false">
      <c r="A532" s="4" t="n">
        <v>45974</v>
      </c>
      <c r="B532" s="3" t="n">
        <v>0</v>
      </c>
      <c r="C532" s="3" t="n">
        <v>3.9</v>
      </c>
      <c r="D532" s="3" t="n">
        <v>160</v>
      </c>
      <c r="E532" s="3" t="n">
        <v>80</v>
      </c>
    </row>
    <row r="533" customFormat="false" ht="15.75" hidden="false" customHeight="true" outlineLevel="0" collapsed="false">
      <c r="A533" s="4" t="n">
        <v>45975</v>
      </c>
      <c r="B533" s="3" t="n">
        <v>0</v>
      </c>
      <c r="C533" s="3" t="n">
        <v>3.5</v>
      </c>
      <c r="D533" s="3" t="n">
        <v>160</v>
      </c>
      <c r="E533" s="3" t="n">
        <v>80</v>
      </c>
    </row>
    <row r="534" customFormat="false" ht="15.75" hidden="false" customHeight="true" outlineLevel="0" collapsed="false">
      <c r="A534" s="4" t="n">
        <v>45976</v>
      </c>
      <c r="B534" s="3" t="n">
        <v>0</v>
      </c>
      <c r="C534" s="3" t="n">
        <v>3.6</v>
      </c>
      <c r="D534" s="3" t="n">
        <v>160</v>
      </c>
      <c r="E534" s="3" t="n">
        <v>80</v>
      </c>
    </row>
    <row r="535" customFormat="false" ht="15.75" hidden="false" customHeight="true" outlineLevel="0" collapsed="false">
      <c r="A535" s="4" t="n">
        <v>45977</v>
      </c>
      <c r="B535" s="3" t="n">
        <v>7.3</v>
      </c>
      <c r="C535" s="3" t="n">
        <v>3.6</v>
      </c>
      <c r="D535" s="3" t="n">
        <v>160</v>
      </c>
      <c r="E535" s="3" t="n">
        <v>80</v>
      </c>
    </row>
    <row r="536" customFormat="false" ht="15.75" hidden="false" customHeight="true" outlineLevel="0" collapsed="false">
      <c r="A536" s="4" t="n">
        <v>45978</v>
      </c>
      <c r="B536" s="3" t="n">
        <v>4.5</v>
      </c>
      <c r="C536" s="3" t="n">
        <v>3.5</v>
      </c>
      <c r="D536" s="3" t="n">
        <v>160</v>
      </c>
      <c r="E536" s="3" t="n">
        <v>80</v>
      </c>
    </row>
    <row r="537" customFormat="false" ht="15.75" hidden="false" customHeight="true" outlineLevel="0" collapsed="false">
      <c r="A537" s="4" t="n">
        <v>45979</v>
      </c>
      <c r="B537" s="3" t="n">
        <v>0</v>
      </c>
      <c r="C537" s="3" t="n">
        <v>3.4</v>
      </c>
      <c r="D537" s="3" t="n">
        <v>160</v>
      </c>
      <c r="E537" s="3" t="n">
        <v>80</v>
      </c>
    </row>
    <row r="538" customFormat="false" ht="15.75" hidden="false" customHeight="true" outlineLevel="0" collapsed="false">
      <c r="A538" s="4" t="n">
        <v>45980</v>
      </c>
      <c r="B538" s="3" t="n">
        <v>0</v>
      </c>
      <c r="C538" s="3" t="n">
        <v>3.1</v>
      </c>
      <c r="D538" s="3" t="n">
        <v>160</v>
      </c>
      <c r="E538" s="3" t="n">
        <v>80</v>
      </c>
    </row>
    <row r="539" customFormat="false" ht="15.75" hidden="false" customHeight="true" outlineLevel="0" collapsed="false">
      <c r="A539" s="4" t="n">
        <v>45981</v>
      </c>
      <c r="B539" s="3" t="n">
        <v>0</v>
      </c>
      <c r="C539" s="3" t="n">
        <v>3.2</v>
      </c>
      <c r="D539" s="3" t="n">
        <v>160</v>
      </c>
      <c r="E539" s="3" t="n">
        <v>80</v>
      </c>
    </row>
    <row r="540" customFormat="false" ht="15.75" hidden="false" customHeight="true" outlineLevel="0" collapsed="false">
      <c r="A540" s="4" t="n">
        <v>45982</v>
      </c>
      <c r="B540" s="3" t="n">
        <v>0</v>
      </c>
      <c r="C540" s="3" t="n">
        <v>3.3</v>
      </c>
      <c r="D540" s="3" t="n">
        <v>160</v>
      </c>
      <c r="E540" s="3" t="n">
        <v>80</v>
      </c>
    </row>
    <row r="541" customFormat="false" ht="15.75" hidden="false" customHeight="true" outlineLevel="0" collapsed="false">
      <c r="A541" s="4" t="n">
        <v>45983</v>
      </c>
      <c r="B541" s="3" t="n">
        <v>0</v>
      </c>
      <c r="C541" s="3" t="n">
        <v>2.8</v>
      </c>
      <c r="D541" s="3" t="n">
        <v>160</v>
      </c>
      <c r="E541" s="3" t="n">
        <v>80</v>
      </c>
    </row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23.14"/>
    <col collapsed="false" customWidth="true" hidden="false" outlineLevel="0" max="2" min="2" style="0" width="15.25"/>
    <col collapsed="false" customWidth="true" hidden="false" outlineLevel="0" max="3" min="3" style="0" width="15.76"/>
    <col collapsed="false" customWidth="true" hidden="false" outlineLevel="0" max="6" min="4" style="0" width="19.87"/>
  </cols>
  <sheetData>
    <row r="1" customFormat="false" ht="12.75" hidden="false" customHeight="false" outlineLevel="0" collapsed="false">
      <c r="A1" s="1" t="s">
        <v>149</v>
      </c>
      <c r="B1" s="2" t="n">
        <v>110</v>
      </c>
      <c r="C1" s="2"/>
    </row>
    <row r="2" customFormat="false" ht="12.75" hidden="false" customHeight="false" outlineLevel="0" collapsed="false">
      <c r="A2" s="1" t="s">
        <v>150</v>
      </c>
      <c r="B2" s="2" t="n">
        <v>12</v>
      </c>
      <c r="C2" s="2"/>
    </row>
    <row r="3" customFormat="false" ht="12.75" hidden="false" customHeight="false" outlineLevel="0" collapsed="false">
      <c r="A3" s="1" t="s">
        <v>151</v>
      </c>
      <c r="B3" s="2" t="n">
        <v>21</v>
      </c>
    </row>
    <row r="4" customFormat="false" ht="12.75" hidden="false" customHeight="false" outlineLevel="0" collapsed="false">
      <c r="A4" s="1" t="s">
        <v>152</v>
      </c>
      <c r="B4" s="2" t="n">
        <v>160</v>
      </c>
    </row>
    <row r="5" customFormat="false" ht="12.75" hidden="false" customHeight="false" outlineLevel="0" collapsed="false">
      <c r="A5" s="1" t="s">
        <v>153</v>
      </c>
      <c r="B5" s="2" t="n">
        <f aca="false">B4*0.7366</f>
        <v>117.856</v>
      </c>
    </row>
    <row r="6" customFormat="false" ht="12.75" hidden="false" customHeight="false" outlineLevel="0" collapsed="false">
      <c r="A6" s="1" t="s">
        <v>154</v>
      </c>
      <c r="B6" s="2" t="n">
        <f aca="false">((B2*B1)/B3)*10</f>
        <v>628.571428571429</v>
      </c>
    </row>
    <row r="7" customFormat="false" ht="12.75" hidden="false" customHeight="false" outlineLevel="0" collapsed="false">
      <c r="A7" s="1" t="s">
        <v>155</v>
      </c>
      <c r="B7" s="2" t="n">
        <v>26</v>
      </c>
    </row>
    <row r="8" customFormat="false" ht="12.75" hidden="false" customHeight="false" outlineLevel="0" collapsed="false">
      <c r="A8" s="1" t="s">
        <v>156</v>
      </c>
      <c r="B8" s="2" t="n">
        <f aca="false">SQRT((B1*10000)/PI())</f>
        <v>591.72702727032</v>
      </c>
    </row>
    <row r="9" customFormat="false" ht="12.75" hidden="false" customHeight="false" outlineLevel="0" collapsed="false">
      <c r="A9" s="1" t="s">
        <v>157</v>
      </c>
      <c r="B9" s="2" t="n">
        <f aca="false">B8-B7</f>
        <v>565.72702727032</v>
      </c>
    </row>
    <row r="10" customFormat="false" ht="12.75" hidden="false" customHeight="false" outlineLevel="0" collapsed="false">
      <c r="A10" s="1" t="s">
        <v>158</v>
      </c>
      <c r="B10" s="2" t="n">
        <v>280</v>
      </c>
    </row>
    <row r="11" customFormat="false" ht="12.75" hidden="false" customHeight="false" outlineLevel="0" collapsed="false">
      <c r="A11" s="1" t="s">
        <v>159</v>
      </c>
      <c r="B11" s="2" t="n">
        <f aca="false">2*PI()*B9</f>
        <v>3554.56774561926</v>
      </c>
    </row>
    <row r="12" customFormat="false" ht="12.75" hidden="false" customHeight="false" outlineLevel="0" collapsed="false">
      <c r="A12" s="1" t="s">
        <v>160</v>
      </c>
      <c r="B12" s="2" t="n">
        <f aca="false">B11/B10</f>
        <v>12.6948848057831</v>
      </c>
    </row>
    <row r="13" customFormat="false" ht="12.75" hidden="false" customHeight="false" outlineLevel="0" collapsed="false">
      <c r="A13" s="1" t="s">
        <v>161</v>
      </c>
      <c r="B13" s="2" t="n">
        <f aca="false">(B2/B3)*B12</f>
        <v>7.25421988901889</v>
      </c>
    </row>
    <row r="15" customFormat="false" ht="12.75" hidden="false" customHeight="false" outlineLevel="0" collapsed="false">
      <c r="C15" s="2"/>
    </row>
    <row r="16" customFormat="false" ht="12.75" hidden="false" customHeight="false" outlineLevel="0" collapsed="false">
      <c r="C16" s="2"/>
    </row>
    <row r="17" customFormat="false" ht="12.75" hidden="false" customHeight="false" outlineLevel="0" collapsed="false">
      <c r="C17" s="2"/>
    </row>
    <row r="18" customFormat="false" ht="12.75" hidden="false" customHeight="false" outlineLevel="0" collapsed="false">
      <c r="C18" s="2"/>
    </row>
    <row r="19" customFormat="false" ht="12.75" hidden="false" customHeight="false" outlineLevel="0" collapsed="false">
      <c r="C19" s="2"/>
    </row>
    <row r="20" customFormat="false" ht="12.75" hidden="false" customHeight="false" outlineLevel="0" collapsed="false">
      <c r="C20" s="2"/>
    </row>
    <row r="21" customFormat="false" ht="15.75" hidden="false" customHeight="true" outlineLevel="0" collapsed="false">
      <c r="C21" s="2"/>
    </row>
    <row r="22" customFormat="false" ht="15.75" hidden="false" customHeight="true" outlineLevel="0" collapsed="false">
      <c r="C22" s="2"/>
    </row>
    <row r="23" customFormat="false" ht="15.75" hidden="false" customHeight="true" outlineLevel="0" collapsed="false">
      <c r="C23" s="2"/>
    </row>
    <row r="24" customFormat="false" ht="15.75" hidden="false" customHeight="true" outlineLevel="0" collapsed="false">
      <c r="C24" s="2"/>
    </row>
    <row r="25" customFormat="false" ht="15.75" hidden="false" customHeight="true" outlineLevel="0" collapsed="false">
      <c r="C25" s="2"/>
    </row>
    <row r="26" customFormat="false" ht="15.75" hidden="false" customHeight="true" outlineLevel="0" collapsed="false">
      <c r="C26" s="2"/>
    </row>
    <row r="27" customFormat="false" ht="15.75" hidden="false" customHeight="true" outlineLevel="0" collapsed="false">
      <c r="C27" s="2"/>
    </row>
    <row r="28" customFormat="false" ht="15.75" hidden="false" customHeight="true" outlineLevel="0" collapsed="false">
      <c r="C28" s="2"/>
    </row>
    <row r="29" customFormat="false" ht="15.75" hidden="false" customHeight="true" outlineLevel="0" collapsed="false">
      <c r="C29" s="2"/>
    </row>
    <row r="30" customFormat="false" ht="15.75" hidden="false" customHeight="true" outlineLevel="0" collapsed="false">
      <c r="C30" s="2"/>
    </row>
    <row r="31" customFormat="false" ht="15.75" hidden="false" customHeight="true" outlineLevel="0" collapsed="false">
      <c r="C31" s="2"/>
    </row>
    <row r="32" customFormat="false" ht="15.75" hidden="false" customHeight="true" outlineLevel="0" collapsed="false">
      <c r="C32" s="2"/>
    </row>
    <row r="33" customFormat="false" ht="15.75" hidden="false" customHeight="true" outlineLevel="0" collapsed="false">
      <c r="C33" s="2"/>
    </row>
    <row r="34" customFormat="false" ht="15.75" hidden="false" customHeight="true" outlineLevel="0" collapsed="false">
      <c r="C34" s="2"/>
    </row>
    <row r="35" customFormat="false" ht="15.75" hidden="false" customHeight="true" outlineLevel="0" collapsed="false">
      <c r="C35" s="2"/>
    </row>
    <row r="36" customFormat="false" ht="15.75" hidden="false" customHeight="true" outlineLevel="0" collapsed="false">
      <c r="C36" s="2"/>
    </row>
    <row r="37" customFormat="false" ht="15.75" hidden="false" customHeight="true" outlineLevel="0" collapsed="false">
      <c r="C37" s="2"/>
    </row>
    <row r="38" customFormat="false" ht="15.75" hidden="false" customHeight="true" outlineLevel="0" collapsed="false">
      <c r="C38" s="2"/>
    </row>
    <row r="39" customFormat="false" ht="15.75" hidden="false" customHeight="true" outlineLevel="0" collapsed="false">
      <c r="C39" s="2"/>
    </row>
    <row r="40" customFormat="false" ht="15.75" hidden="false" customHeight="true" outlineLevel="0" collapsed="false">
      <c r="C40" s="2"/>
    </row>
    <row r="41" customFormat="false" ht="15.75" hidden="false" customHeight="true" outlineLevel="0" collapsed="false">
      <c r="C41" s="2"/>
    </row>
    <row r="42" customFormat="false" ht="15.75" hidden="false" customHeight="true" outlineLevel="0" collapsed="false">
      <c r="C42" s="2"/>
    </row>
    <row r="43" customFormat="false" ht="15.75" hidden="false" customHeight="true" outlineLevel="0" collapsed="false">
      <c r="C43" s="2"/>
    </row>
    <row r="44" customFormat="false" ht="15.75" hidden="false" customHeight="true" outlineLevel="0" collapsed="false">
      <c r="C44" s="2"/>
    </row>
    <row r="45" customFormat="false" ht="15.75" hidden="false" customHeight="true" outlineLevel="0" collapsed="false">
      <c r="C45" s="2"/>
    </row>
    <row r="46" customFormat="false" ht="15.75" hidden="false" customHeight="true" outlineLevel="0" collapsed="false">
      <c r="C46" s="2"/>
    </row>
    <row r="47" customFormat="false" ht="15.75" hidden="false" customHeight="true" outlineLevel="0" collapsed="false">
      <c r="C47" s="2"/>
    </row>
    <row r="48" customFormat="false" ht="15.75" hidden="false" customHeight="true" outlineLevel="0" collapsed="false">
      <c r="C48" s="2"/>
    </row>
    <row r="49" customFormat="false" ht="15.75" hidden="false" customHeight="true" outlineLevel="0" collapsed="false">
      <c r="C49" s="2"/>
    </row>
    <row r="50" customFormat="false" ht="15.75" hidden="false" customHeight="true" outlineLevel="0" collapsed="false">
      <c r="C50" s="2"/>
    </row>
    <row r="51" customFormat="false" ht="15.75" hidden="false" customHeight="true" outlineLevel="0" collapsed="false">
      <c r="C51" s="2"/>
    </row>
    <row r="52" customFormat="false" ht="15.75" hidden="false" customHeight="true" outlineLevel="0" collapsed="false">
      <c r="C52" s="2"/>
    </row>
    <row r="53" customFormat="false" ht="15.75" hidden="false" customHeight="true" outlineLevel="0" collapsed="false">
      <c r="C53" s="2"/>
    </row>
    <row r="54" customFormat="false" ht="15.75" hidden="false" customHeight="true" outlineLevel="0" collapsed="false">
      <c r="C54" s="2"/>
    </row>
    <row r="55" customFormat="false" ht="15.75" hidden="false" customHeight="true" outlineLevel="0" collapsed="false">
      <c r="C55" s="2"/>
    </row>
    <row r="56" customFormat="false" ht="15.75" hidden="false" customHeight="true" outlineLevel="0" collapsed="false">
      <c r="C56" s="2"/>
    </row>
    <row r="57" customFormat="false" ht="15.75" hidden="false" customHeight="true" outlineLevel="0" collapsed="false">
      <c r="C57" s="2"/>
    </row>
    <row r="58" customFormat="false" ht="15.75" hidden="false" customHeight="true" outlineLevel="0" collapsed="false">
      <c r="C58" s="2"/>
    </row>
    <row r="59" customFormat="false" ht="15.75" hidden="false" customHeight="true" outlineLevel="0" collapsed="false">
      <c r="C59" s="2"/>
    </row>
    <row r="60" customFormat="false" ht="15.75" hidden="false" customHeight="true" outlineLevel="0" collapsed="false">
      <c r="C60" s="2"/>
    </row>
    <row r="61" customFormat="false" ht="15.75" hidden="false" customHeight="true" outlineLevel="0" collapsed="false">
      <c r="C61" s="2"/>
    </row>
    <row r="62" customFormat="false" ht="15.75" hidden="false" customHeight="true" outlineLevel="0" collapsed="false">
      <c r="C62" s="2"/>
    </row>
    <row r="63" customFormat="false" ht="15.75" hidden="false" customHeight="true" outlineLevel="0" collapsed="false">
      <c r="C63" s="2"/>
    </row>
    <row r="64" customFormat="false" ht="15.75" hidden="false" customHeight="true" outlineLevel="0" collapsed="false">
      <c r="C64" s="2"/>
    </row>
    <row r="65" customFormat="false" ht="15.75" hidden="false" customHeight="true" outlineLevel="0" collapsed="false">
      <c r="C65" s="2"/>
    </row>
    <row r="66" customFormat="false" ht="15.75" hidden="false" customHeight="true" outlineLevel="0" collapsed="false">
      <c r="C66" s="2"/>
    </row>
    <row r="67" customFormat="false" ht="15.75" hidden="false" customHeight="true" outlineLevel="0" collapsed="false">
      <c r="C67" s="2"/>
    </row>
    <row r="68" customFormat="false" ht="15.75" hidden="false" customHeight="true" outlineLevel="0" collapsed="false">
      <c r="C68" s="2"/>
    </row>
    <row r="69" customFormat="false" ht="15.75" hidden="false" customHeight="true" outlineLevel="0" collapsed="false">
      <c r="C69" s="2"/>
    </row>
    <row r="70" customFormat="false" ht="15.75" hidden="false" customHeight="true" outlineLevel="0" collapsed="false">
      <c r="C70" s="2"/>
    </row>
    <row r="71" customFormat="false" ht="15.75" hidden="false" customHeight="true" outlineLevel="0" collapsed="false">
      <c r="C71" s="2"/>
    </row>
    <row r="72" customFormat="false" ht="15.75" hidden="false" customHeight="true" outlineLevel="0" collapsed="false">
      <c r="C72" s="2"/>
    </row>
    <row r="73" customFormat="false" ht="15.75" hidden="false" customHeight="true" outlineLevel="0" collapsed="false">
      <c r="C73" s="2"/>
    </row>
    <row r="74" customFormat="false" ht="15.75" hidden="false" customHeight="true" outlineLevel="0" collapsed="false">
      <c r="C74" s="2"/>
    </row>
    <row r="75" customFormat="false" ht="15.75" hidden="false" customHeight="true" outlineLevel="0" collapsed="false">
      <c r="C75" s="2"/>
    </row>
    <row r="76" customFormat="false" ht="15.75" hidden="false" customHeight="true" outlineLevel="0" collapsed="false">
      <c r="C76" s="2"/>
    </row>
    <row r="77" customFormat="false" ht="15.75" hidden="false" customHeight="true" outlineLevel="0" collapsed="false">
      <c r="C77" s="2"/>
    </row>
    <row r="78" customFormat="false" ht="15.75" hidden="false" customHeight="true" outlineLevel="0" collapsed="false">
      <c r="C78" s="2"/>
    </row>
    <row r="79" customFormat="false" ht="15.75" hidden="false" customHeight="true" outlineLevel="0" collapsed="false">
      <c r="C79" s="2"/>
    </row>
    <row r="80" customFormat="false" ht="15.75" hidden="false" customHeight="true" outlineLevel="0" collapsed="false">
      <c r="C80" s="2"/>
    </row>
    <row r="81" customFormat="false" ht="15.75" hidden="false" customHeight="true" outlineLevel="0" collapsed="false">
      <c r="C81" s="2"/>
    </row>
    <row r="82" customFormat="false" ht="15.75" hidden="false" customHeight="true" outlineLevel="0" collapsed="false">
      <c r="C82" s="2"/>
    </row>
    <row r="83" customFormat="false" ht="15.75" hidden="false" customHeight="true" outlineLevel="0" collapsed="false">
      <c r="C83" s="2"/>
    </row>
    <row r="84" customFormat="false" ht="15.75" hidden="false" customHeight="true" outlineLevel="0" collapsed="false">
      <c r="C84" s="2"/>
    </row>
    <row r="85" customFormat="false" ht="15.75" hidden="false" customHeight="true" outlineLevel="0" collapsed="false">
      <c r="C85" s="2"/>
    </row>
    <row r="86" customFormat="false" ht="15.75" hidden="false" customHeight="true" outlineLevel="0" collapsed="false">
      <c r="C86" s="2"/>
    </row>
    <row r="87" customFormat="false" ht="15.75" hidden="false" customHeight="true" outlineLevel="0" collapsed="false">
      <c r="C87" s="2"/>
    </row>
    <row r="88" customFormat="false" ht="15.75" hidden="false" customHeight="true" outlineLevel="0" collapsed="false">
      <c r="C88" s="2"/>
    </row>
    <row r="89" customFormat="false" ht="15.75" hidden="false" customHeight="true" outlineLevel="0" collapsed="false">
      <c r="C89" s="2"/>
    </row>
    <row r="90" customFormat="false" ht="15.75" hidden="false" customHeight="true" outlineLevel="0" collapsed="false">
      <c r="C90" s="2"/>
    </row>
    <row r="91" customFormat="false" ht="15.75" hidden="false" customHeight="true" outlineLevel="0" collapsed="false">
      <c r="C91" s="2"/>
    </row>
    <row r="92" customFormat="false" ht="15.75" hidden="false" customHeight="true" outlineLevel="0" collapsed="false">
      <c r="C92" s="2"/>
    </row>
    <row r="93" customFormat="false" ht="15.75" hidden="false" customHeight="true" outlineLevel="0" collapsed="false">
      <c r="C93" s="2"/>
    </row>
    <row r="94" customFormat="false" ht="15.75" hidden="false" customHeight="true" outlineLevel="0" collapsed="false">
      <c r="C94" s="2"/>
    </row>
    <row r="95" customFormat="false" ht="15.75" hidden="false" customHeight="true" outlineLevel="0" collapsed="false">
      <c r="C95" s="2"/>
    </row>
    <row r="96" customFormat="false" ht="15.75" hidden="false" customHeight="true" outlineLevel="0" collapsed="false">
      <c r="C96" s="2"/>
    </row>
    <row r="97" customFormat="false" ht="15.75" hidden="false" customHeight="true" outlineLevel="0" collapsed="false">
      <c r="C97" s="2"/>
    </row>
    <row r="98" customFormat="false" ht="15.75" hidden="false" customHeight="true" outlineLevel="0" collapsed="false">
      <c r="C98" s="2"/>
    </row>
    <row r="99" customFormat="false" ht="15.75" hidden="false" customHeight="true" outlineLevel="0" collapsed="false">
      <c r="C99" s="2"/>
    </row>
    <row r="100" customFormat="false" ht="15.75" hidden="false" customHeight="true" outlineLevel="0" collapsed="false">
      <c r="C100" s="2"/>
    </row>
    <row r="101" customFormat="false" ht="15.75" hidden="false" customHeight="true" outlineLevel="0" collapsed="false">
      <c r="C101" s="2"/>
    </row>
    <row r="102" customFormat="false" ht="15.75" hidden="false" customHeight="true" outlineLevel="0" collapsed="false">
      <c r="C102" s="2"/>
    </row>
    <row r="103" customFormat="false" ht="15.75" hidden="false" customHeight="true" outlineLevel="0" collapsed="false">
      <c r="C103" s="2"/>
    </row>
    <row r="104" customFormat="false" ht="15.75" hidden="false" customHeight="true" outlineLevel="0" collapsed="false">
      <c r="C104" s="2"/>
    </row>
    <row r="105" customFormat="false" ht="15.75" hidden="false" customHeight="true" outlineLevel="0" collapsed="false">
      <c r="C105" s="2"/>
    </row>
    <row r="106" customFormat="false" ht="15.75" hidden="false" customHeight="true" outlineLevel="0" collapsed="false">
      <c r="C106" s="2"/>
    </row>
    <row r="107" customFormat="false" ht="15.75" hidden="false" customHeight="true" outlineLevel="0" collapsed="false">
      <c r="C107" s="2"/>
    </row>
    <row r="108" customFormat="false" ht="15.75" hidden="false" customHeight="true" outlineLevel="0" collapsed="false">
      <c r="C108" s="2"/>
    </row>
    <row r="109" customFormat="false" ht="15.75" hidden="false" customHeight="true" outlineLevel="0" collapsed="false">
      <c r="C109" s="2"/>
    </row>
    <row r="110" customFormat="false" ht="15.75" hidden="false" customHeight="true" outlineLevel="0" collapsed="false">
      <c r="C110" s="2"/>
    </row>
    <row r="111" customFormat="false" ht="15.75" hidden="false" customHeight="true" outlineLevel="0" collapsed="false">
      <c r="C111" s="2"/>
    </row>
    <row r="112" customFormat="false" ht="15.75" hidden="false" customHeight="true" outlineLevel="0" collapsed="false">
      <c r="C112" s="2"/>
    </row>
    <row r="113" customFormat="false" ht="15.75" hidden="false" customHeight="true" outlineLevel="0" collapsed="false">
      <c r="C113" s="2"/>
    </row>
    <row r="114" customFormat="false" ht="15.75" hidden="false" customHeight="true" outlineLevel="0" collapsed="false">
      <c r="C114" s="2"/>
    </row>
    <row r="115" customFormat="false" ht="15.75" hidden="false" customHeight="true" outlineLevel="0" collapsed="false">
      <c r="C115" s="2"/>
    </row>
    <row r="116" customFormat="false" ht="15.75" hidden="false" customHeight="true" outlineLevel="0" collapsed="false">
      <c r="C116" s="2"/>
    </row>
    <row r="117" customFormat="false" ht="15.75" hidden="false" customHeight="true" outlineLevel="0" collapsed="false">
      <c r="C117" s="2"/>
    </row>
    <row r="118" customFormat="false" ht="15.75" hidden="false" customHeight="true" outlineLevel="0" collapsed="false">
      <c r="C118" s="2"/>
    </row>
    <row r="119" customFormat="false" ht="15.75" hidden="false" customHeight="true" outlineLevel="0" collapsed="false">
      <c r="C119" s="2"/>
    </row>
    <row r="120" customFormat="false" ht="15.75" hidden="false" customHeight="true" outlineLevel="0" collapsed="false">
      <c r="C120" s="2"/>
    </row>
    <row r="121" customFormat="false" ht="15.75" hidden="false" customHeight="true" outlineLevel="0" collapsed="false">
      <c r="C121" s="2"/>
    </row>
    <row r="122" customFormat="false" ht="15.75" hidden="false" customHeight="true" outlineLevel="0" collapsed="false">
      <c r="C122" s="2"/>
    </row>
    <row r="123" customFormat="false" ht="15.75" hidden="false" customHeight="true" outlineLevel="0" collapsed="false">
      <c r="C123" s="2"/>
    </row>
    <row r="124" customFormat="false" ht="15.75" hidden="false" customHeight="true" outlineLevel="0" collapsed="false">
      <c r="C124" s="2"/>
    </row>
    <row r="125" customFormat="false" ht="15.75" hidden="false" customHeight="true" outlineLevel="0" collapsed="false">
      <c r="C125" s="2"/>
    </row>
    <row r="126" customFormat="false" ht="15.75" hidden="false" customHeight="true" outlineLevel="0" collapsed="false">
      <c r="C126" s="2"/>
    </row>
    <row r="127" customFormat="false" ht="15.75" hidden="false" customHeight="true" outlineLevel="0" collapsed="false">
      <c r="C127" s="2"/>
    </row>
    <row r="128" customFormat="false" ht="15.75" hidden="false" customHeight="true" outlineLevel="0" collapsed="false">
      <c r="C128" s="2"/>
    </row>
    <row r="129" customFormat="false" ht="15.75" hidden="false" customHeight="true" outlineLevel="0" collapsed="false">
      <c r="C129" s="2"/>
    </row>
    <row r="130" customFormat="false" ht="15.75" hidden="false" customHeight="true" outlineLevel="0" collapsed="false">
      <c r="C130" s="2"/>
    </row>
    <row r="131" customFormat="false" ht="15.75" hidden="false" customHeight="true" outlineLevel="0" collapsed="false">
      <c r="C131" s="2"/>
    </row>
    <row r="132" customFormat="false" ht="15.75" hidden="false" customHeight="true" outlineLevel="0" collapsed="false">
      <c r="C132" s="2"/>
    </row>
    <row r="133" customFormat="false" ht="15.75" hidden="false" customHeight="true" outlineLevel="0" collapsed="false">
      <c r="C133" s="2"/>
    </row>
    <row r="134" customFormat="false" ht="15.75" hidden="false" customHeight="true" outlineLevel="0" collapsed="false">
      <c r="C134" s="2"/>
    </row>
    <row r="135" customFormat="false" ht="15.75" hidden="false" customHeight="true" outlineLevel="0" collapsed="false">
      <c r="C135" s="2"/>
    </row>
    <row r="136" customFormat="false" ht="15.75" hidden="false" customHeight="true" outlineLevel="0" collapsed="false">
      <c r="C136" s="2"/>
    </row>
    <row r="137" customFormat="false" ht="15.75" hidden="false" customHeight="true" outlineLevel="0" collapsed="false">
      <c r="C137" s="2"/>
    </row>
    <row r="138" customFormat="false" ht="15.75" hidden="false" customHeight="true" outlineLevel="0" collapsed="false">
      <c r="C138" s="2"/>
    </row>
    <row r="139" customFormat="false" ht="15.75" hidden="false" customHeight="true" outlineLevel="0" collapsed="false">
      <c r="C139" s="2"/>
    </row>
    <row r="140" customFormat="false" ht="15.75" hidden="false" customHeight="true" outlineLevel="0" collapsed="false">
      <c r="C140" s="2"/>
    </row>
    <row r="141" customFormat="false" ht="15.75" hidden="false" customHeight="true" outlineLevel="0" collapsed="false">
      <c r="C141" s="2"/>
    </row>
    <row r="142" customFormat="false" ht="15.75" hidden="false" customHeight="true" outlineLevel="0" collapsed="false">
      <c r="C142" s="2"/>
    </row>
    <row r="143" customFormat="false" ht="15.75" hidden="false" customHeight="true" outlineLevel="0" collapsed="false">
      <c r="C143" s="2"/>
    </row>
    <row r="144" customFormat="false" ht="15.75" hidden="false" customHeight="true" outlineLevel="0" collapsed="false">
      <c r="C144" s="2"/>
    </row>
    <row r="145" customFormat="false" ht="15.75" hidden="false" customHeight="true" outlineLevel="0" collapsed="false">
      <c r="C145" s="2"/>
    </row>
    <row r="146" customFormat="false" ht="15.75" hidden="false" customHeight="true" outlineLevel="0" collapsed="false">
      <c r="C146" s="2"/>
    </row>
    <row r="147" customFormat="false" ht="15.75" hidden="false" customHeight="true" outlineLevel="0" collapsed="false">
      <c r="C147" s="2"/>
    </row>
    <row r="148" customFormat="false" ht="15.75" hidden="false" customHeight="true" outlineLevel="0" collapsed="false">
      <c r="C148" s="2"/>
    </row>
    <row r="149" customFormat="false" ht="15.75" hidden="false" customHeight="true" outlineLevel="0" collapsed="false">
      <c r="C149" s="2"/>
    </row>
    <row r="150" customFormat="false" ht="15.75" hidden="false" customHeight="true" outlineLevel="0" collapsed="false">
      <c r="C150" s="2"/>
    </row>
    <row r="151" customFormat="false" ht="15.75" hidden="false" customHeight="true" outlineLevel="0" collapsed="false">
      <c r="C151" s="2"/>
    </row>
    <row r="152" customFormat="false" ht="15.75" hidden="false" customHeight="true" outlineLevel="0" collapsed="false">
      <c r="C152" s="2"/>
    </row>
    <row r="153" customFormat="false" ht="15.75" hidden="false" customHeight="true" outlineLevel="0" collapsed="false">
      <c r="C153" s="2"/>
    </row>
    <row r="154" customFormat="false" ht="15.75" hidden="false" customHeight="true" outlineLevel="0" collapsed="false">
      <c r="C154" s="2"/>
    </row>
    <row r="155" customFormat="false" ht="15.75" hidden="false" customHeight="true" outlineLevel="0" collapsed="false">
      <c r="C155" s="2"/>
    </row>
    <row r="156" customFormat="false" ht="15.75" hidden="false" customHeight="true" outlineLevel="0" collapsed="false">
      <c r="C156" s="2"/>
    </row>
    <row r="157" customFormat="false" ht="15.75" hidden="false" customHeight="true" outlineLevel="0" collapsed="false">
      <c r="C157" s="2"/>
    </row>
    <row r="158" customFormat="false" ht="15.75" hidden="false" customHeight="true" outlineLevel="0" collapsed="false">
      <c r="C158" s="2"/>
    </row>
    <row r="159" customFormat="false" ht="15.75" hidden="false" customHeight="true" outlineLevel="0" collapsed="false">
      <c r="C159" s="2"/>
    </row>
    <row r="160" customFormat="false" ht="15.75" hidden="false" customHeight="true" outlineLevel="0" collapsed="false">
      <c r="C160" s="2"/>
    </row>
    <row r="161" customFormat="false" ht="15.75" hidden="false" customHeight="true" outlineLevel="0" collapsed="false">
      <c r="C161" s="2"/>
    </row>
    <row r="162" customFormat="false" ht="15.75" hidden="false" customHeight="true" outlineLevel="0" collapsed="false">
      <c r="C162" s="2"/>
    </row>
    <row r="163" customFormat="false" ht="15.75" hidden="false" customHeight="true" outlineLevel="0" collapsed="false">
      <c r="C163" s="2"/>
    </row>
    <row r="164" customFormat="false" ht="15.75" hidden="false" customHeight="true" outlineLevel="0" collapsed="false">
      <c r="C164" s="2"/>
    </row>
    <row r="165" customFormat="false" ht="15.75" hidden="false" customHeight="true" outlineLevel="0" collapsed="false">
      <c r="C165" s="2"/>
    </row>
    <row r="166" customFormat="false" ht="15.75" hidden="false" customHeight="true" outlineLevel="0" collapsed="false">
      <c r="C166" s="2"/>
    </row>
    <row r="167" customFormat="false" ht="15.75" hidden="false" customHeight="true" outlineLevel="0" collapsed="false">
      <c r="C167" s="2"/>
    </row>
    <row r="168" customFormat="false" ht="15.75" hidden="false" customHeight="true" outlineLevel="0" collapsed="false">
      <c r="C168" s="2"/>
    </row>
    <row r="169" customFormat="false" ht="15.75" hidden="false" customHeight="true" outlineLevel="0" collapsed="false">
      <c r="C169" s="2"/>
    </row>
    <row r="170" customFormat="false" ht="15.75" hidden="false" customHeight="true" outlineLevel="0" collapsed="false">
      <c r="C170" s="2"/>
    </row>
    <row r="171" customFormat="false" ht="15.75" hidden="false" customHeight="true" outlineLevel="0" collapsed="false">
      <c r="C171" s="2"/>
    </row>
    <row r="172" customFormat="false" ht="15.75" hidden="false" customHeight="true" outlineLevel="0" collapsed="false">
      <c r="C172" s="2"/>
    </row>
    <row r="173" customFormat="false" ht="15.75" hidden="false" customHeight="true" outlineLevel="0" collapsed="false">
      <c r="C173" s="2"/>
    </row>
    <row r="174" customFormat="false" ht="15.75" hidden="false" customHeight="true" outlineLevel="0" collapsed="false">
      <c r="C174" s="2"/>
    </row>
    <row r="175" customFormat="false" ht="15.75" hidden="false" customHeight="true" outlineLevel="0" collapsed="false">
      <c r="C175" s="2"/>
    </row>
    <row r="176" customFormat="false" ht="15.75" hidden="false" customHeight="true" outlineLevel="0" collapsed="false">
      <c r="C176" s="2"/>
    </row>
    <row r="177" customFormat="false" ht="15.75" hidden="false" customHeight="true" outlineLevel="0" collapsed="false">
      <c r="C177" s="2"/>
    </row>
    <row r="178" customFormat="false" ht="15.75" hidden="false" customHeight="true" outlineLevel="0" collapsed="false">
      <c r="C178" s="2"/>
    </row>
    <row r="179" customFormat="false" ht="15.75" hidden="false" customHeight="true" outlineLevel="0" collapsed="false">
      <c r="C179" s="2"/>
    </row>
    <row r="180" customFormat="false" ht="15.75" hidden="false" customHeight="true" outlineLevel="0" collapsed="false">
      <c r="C180" s="2"/>
    </row>
    <row r="181" customFormat="false" ht="15.75" hidden="false" customHeight="true" outlineLevel="0" collapsed="false">
      <c r="C181" s="2"/>
    </row>
    <row r="182" customFormat="false" ht="15.75" hidden="false" customHeight="true" outlineLevel="0" collapsed="false">
      <c r="C182" s="2"/>
    </row>
    <row r="183" customFormat="false" ht="15.75" hidden="false" customHeight="true" outlineLevel="0" collapsed="false">
      <c r="C183" s="2"/>
    </row>
    <row r="184" customFormat="false" ht="15.75" hidden="false" customHeight="true" outlineLevel="0" collapsed="false">
      <c r="C184" s="2"/>
    </row>
    <row r="185" customFormat="false" ht="15.75" hidden="false" customHeight="true" outlineLevel="0" collapsed="false">
      <c r="C185" s="2"/>
    </row>
    <row r="186" customFormat="false" ht="15.75" hidden="false" customHeight="true" outlineLevel="0" collapsed="false">
      <c r="C186" s="2"/>
    </row>
    <row r="187" customFormat="false" ht="15.75" hidden="false" customHeight="true" outlineLevel="0" collapsed="false">
      <c r="C187" s="2"/>
    </row>
    <row r="188" customFormat="false" ht="15.75" hidden="false" customHeight="true" outlineLevel="0" collapsed="false">
      <c r="C188" s="2"/>
    </row>
    <row r="189" customFormat="false" ht="15.75" hidden="false" customHeight="true" outlineLevel="0" collapsed="false">
      <c r="C189" s="2"/>
    </row>
    <row r="190" customFormat="false" ht="15.75" hidden="false" customHeight="true" outlineLevel="0" collapsed="false">
      <c r="C190" s="2"/>
    </row>
    <row r="191" customFormat="false" ht="15.75" hidden="false" customHeight="true" outlineLevel="0" collapsed="false">
      <c r="C191" s="2"/>
    </row>
    <row r="192" customFormat="false" ht="15.75" hidden="false" customHeight="true" outlineLevel="0" collapsed="false">
      <c r="C192" s="2"/>
    </row>
    <row r="193" customFormat="false" ht="15.75" hidden="false" customHeight="true" outlineLevel="0" collapsed="false">
      <c r="C193" s="2"/>
    </row>
    <row r="194" customFormat="false" ht="15.75" hidden="false" customHeight="true" outlineLevel="0" collapsed="false">
      <c r="C194" s="2"/>
    </row>
    <row r="195" customFormat="false" ht="15.75" hidden="false" customHeight="true" outlineLevel="0" collapsed="false">
      <c r="C195" s="2"/>
    </row>
    <row r="196" customFormat="false" ht="15.75" hidden="false" customHeight="true" outlineLevel="0" collapsed="false">
      <c r="C196" s="2"/>
    </row>
    <row r="197" customFormat="false" ht="15.75" hidden="false" customHeight="true" outlineLevel="0" collapsed="false">
      <c r="C197" s="2"/>
    </row>
    <row r="198" customFormat="false" ht="15.75" hidden="false" customHeight="true" outlineLevel="0" collapsed="false">
      <c r="C198" s="2"/>
    </row>
    <row r="199" customFormat="false" ht="15.75" hidden="false" customHeight="true" outlineLevel="0" collapsed="false">
      <c r="C199" s="2"/>
    </row>
    <row r="200" customFormat="false" ht="15.75" hidden="false" customHeight="true" outlineLevel="0" collapsed="false">
      <c r="C200" s="2"/>
    </row>
    <row r="201" customFormat="false" ht="15.75" hidden="false" customHeight="true" outlineLevel="0" collapsed="false">
      <c r="C201" s="2"/>
    </row>
    <row r="202" customFormat="false" ht="15.75" hidden="false" customHeight="true" outlineLevel="0" collapsed="false">
      <c r="C202" s="2"/>
    </row>
    <row r="203" customFormat="false" ht="15.75" hidden="false" customHeight="true" outlineLevel="0" collapsed="false">
      <c r="C203" s="2"/>
    </row>
    <row r="204" customFormat="false" ht="15.75" hidden="false" customHeight="true" outlineLevel="0" collapsed="false">
      <c r="C204" s="2"/>
    </row>
    <row r="205" customFormat="false" ht="15.75" hidden="false" customHeight="true" outlineLevel="0" collapsed="false">
      <c r="C205" s="2"/>
    </row>
    <row r="206" customFormat="false" ht="15.75" hidden="false" customHeight="true" outlineLevel="0" collapsed="false">
      <c r="C206" s="2"/>
    </row>
    <row r="207" customFormat="false" ht="15.75" hidden="false" customHeight="true" outlineLevel="0" collapsed="false">
      <c r="C207" s="2"/>
    </row>
    <row r="208" customFormat="false" ht="15.75" hidden="false" customHeight="true" outlineLevel="0" collapsed="false">
      <c r="C208" s="2"/>
    </row>
    <row r="209" customFormat="false" ht="15.75" hidden="false" customHeight="true" outlineLevel="0" collapsed="false">
      <c r="C209" s="2"/>
    </row>
    <row r="210" customFormat="false" ht="15.75" hidden="false" customHeight="true" outlineLevel="0" collapsed="false">
      <c r="C210" s="2"/>
    </row>
    <row r="211" customFormat="false" ht="15.75" hidden="false" customHeight="true" outlineLevel="0" collapsed="false">
      <c r="C211" s="2"/>
    </row>
    <row r="212" customFormat="false" ht="15.75" hidden="false" customHeight="true" outlineLevel="0" collapsed="false">
      <c r="C212" s="2"/>
    </row>
    <row r="213" customFormat="false" ht="15.75" hidden="false" customHeight="true" outlineLevel="0" collapsed="false">
      <c r="C213" s="2"/>
    </row>
    <row r="214" customFormat="false" ht="15.75" hidden="false" customHeight="true" outlineLevel="0" collapsed="false">
      <c r="C214" s="2"/>
    </row>
    <row r="215" customFormat="false" ht="15.75" hidden="false" customHeight="true" outlineLevel="0" collapsed="false">
      <c r="C215" s="2"/>
    </row>
    <row r="216" customFormat="false" ht="15.75" hidden="false" customHeight="true" outlineLevel="0" collapsed="false">
      <c r="C216" s="2"/>
    </row>
    <row r="217" customFormat="false" ht="15.75" hidden="false" customHeight="true" outlineLevel="0" collapsed="false">
      <c r="C217" s="2"/>
    </row>
    <row r="218" customFormat="false" ht="15.75" hidden="false" customHeight="true" outlineLevel="0" collapsed="false">
      <c r="C218" s="2"/>
    </row>
    <row r="219" customFormat="false" ht="15.75" hidden="false" customHeight="true" outlineLevel="0" collapsed="false">
      <c r="C219" s="2"/>
    </row>
    <row r="220" customFormat="false" ht="15.75" hidden="false" customHeight="true" outlineLevel="0" collapsed="false">
      <c r="C220" s="2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33.24"/>
    <col collapsed="false" customWidth="true" hidden="false" outlineLevel="0" max="2" min="2" style="0" width="45.38"/>
    <col collapsed="false" customWidth="true" hidden="false" outlineLevel="0" max="3" min="3" style="0" width="44.13"/>
    <col collapsed="false" customWidth="true" hidden="false" outlineLevel="0" max="5" min="4" style="0" width="37.63"/>
  </cols>
  <sheetData>
    <row r="1" customFormat="false" ht="12.75" hidden="false" customHeight="false" outlineLevel="0" collapsed="false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</row>
    <row r="2" customFormat="false" ht="12.75" hidden="false" customHeight="false" outlineLevel="0" collapsed="false">
      <c r="A2" s="1" t="s">
        <v>167</v>
      </c>
      <c r="B2" s="5" t="n">
        <v>1.45</v>
      </c>
      <c r="C2" s="5" t="n">
        <v>1.48</v>
      </c>
      <c r="D2" s="5" t="n">
        <v>1.52</v>
      </c>
      <c r="E2" s="5" t="n">
        <v>1.55</v>
      </c>
    </row>
    <row r="3" customFormat="false" ht="12.75" hidden="false" customHeight="false" outlineLevel="0" collapsed="false">
      <c r="A3" s="1" t="s">
        <v>168</v>
      </c>
      <c r="B3" s="5" t="n">
        <v>0.95</v>
      </c>
      <c r="C3" s="5" t="n">
        <v>0.98</v>
      </c>
      <c r="D3" s="5" t="n">
        <v>1.02</v>
      </c>
      <c r="E3" s="5" t="n">
        <v>1.05</v>
      </c>
    </row>
    <row r="4" customFormat="false" ht="12.75" hidden="false" customHeight="false" outlineLevel="0" collapsed="false">
      <c r="A4" s="1" t="s">
        <v>169</v>
      </c>
      <c r="B4" s="5" t="n">
        <v>0.62</v>
      </c>
      <c r="C4" s="5" t="n">
        <v>0.65</v>
      </c>
      <c r="D4" s="5" t="n">
        <v>0.69</v>
      </c>
      <c r="E4" s="5" t="n">
        <v>0.72</v>
      </c>
    </row>
    <row r="5" customFormat="false" ht="12.75" hidden="false" customHeight="false" outlineLevel="0" collapsed="false">
      <c r="A5" s="1" t="s">
        <v>170</v>
      </c>
      <c r="B5" s="5" t="n">
        <v>1.03</v>
      </c>
      <c r="C5" s="5" t="n">
        <v>1.06</v>
      </c>
      <c r="D5" s="5" t="n">
        <v>1.1</v>
      </c>
      <c r="E5" s="5" t="n">
        <v>1.13</v>
      </c>
    </row>
    <row r="6" customFormat="false" ht="12.75" hidden="false" customHeight="false" outlineLevel="0" collapsed="false">
      <c r="A6" s="1" t="s">
        <v>171</v>
      </c>
      <c r="B6" s="5" t="n">
        <v>0.7</v>
      </c>
      <c r="C6" s="5" t="n">
        <v>0.73</v>
      </c>
      <c r="D6" s="5" t="n">
        <v>0.77</v>
      </c>
      <c r="E6" s="5" t="n">
        <v>0.8</v>
      </c>
    </row>
    <row r="7" customFormat="false" ht="12.75" hidden="false" customHeight="false" outlineLevel="0" collapsed="false">
      <c r="A7" s="1" t="s">
        <v>172</v>
      </c>
      <c r="B7" s="5" t="n">
        <v>0.37</v>
      </c>
      <c r="C7" s="5" t="n">
        <v>0.4</v>
      </c>
      <c r="D7" s="5" t="n">
        <v>0.44</v>
      </c>
      <c r="E7" s="5" t="n">
        <v>0.47</v>
      </c>
    </row>
    <row r="8" customFormat="false" ht="12.75" hidden="false" customHeight="false" outlineLevel="0" collapsed="false">
      <c r="A8" s="6" t="s">
        <v>173</v>
      </c>
      <c r="B8" s="7" t="n">
        <v>1.53</v>
      </c>
      <c r="C8" s="7" t="n">
        <v>1.56</v>
      </c>
      <c r="D8" s="7" t="n">
        <v>1.6</v>
      </c>
      <c r="E8" s="7" t="n">
        <v>1.63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2.75" hidden="false" customHeight="false" outlineLevel="0" collapsed="false">
      <c r="A9" s="6" t="s">
        <v>174</v>
      </c>
      <c r="B9" s="7" t="n">
        <v>1</v>
      </c>
      <c r="C9" s="7" t="n">
        <v>1.03</v>
      </c>
      <c r="D9" s="7" t="n">
        <v>1.07</v>
      </c>
      <c r="E9" s="7" t="n">
        <v>1.1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2.75" hidden="false" customHeight="false" outlineLevel="0" collapsed="false">
      <c r="A10" s="6" t="s">
        <v>175</v>
      </c>
      <c r="B10" s="7" t="n">
        <v>0.63</v>
      </c>
      <c r="C10" s="7" t="n">
        <v>0.67</v>
      </c>
      <c r="D10" s="7" t="n">
        <v>0.7</v>
      </c>
      <c r="E10" s="7" t="n">
        <v>0.73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2.75" hidden="false" customHeight="false" outlineLevel="0" collapsed="false">
      <c r="A11" s="1" t="s">
        <v>176</v>
      </c>
      <c r="B11" s="5" t="n">
        <v>1.12</v>
      </c>
      <c r="C11" s="5" t="n">
        <v>1.15</v>
      </c>
      <c r="D11" s="5" t="n">
        <v>1.18</v>
      </c>
      <c r="E11" s="5" t="n">
        <v>1.22</v>
      </c>
    </row>
    <row r="12" customFormat="false" ht="12.75" hidden="false" customHeight="false" outlineLevel="0" collapsed="false">
      <c r="A12" s="1" t="s">
        <v>177</v>
      </c>
      <c r="B12" s="5" t="n">
        <v>0.75</v>
      </c>
      <c r="C12" s="5" t="n">
        <v>0.78</v>
      </c>
      <c r="D12" s="5" t="n">
        <v>0.82</v>
      </c>
      <c r="E12" s="5" t="n">
        <v>0.85</v>
      </c>
    </row>
    <row r="13" customFormat="false" ht="12.75" hidden="false" customHeight="false" outlineLevel="0" collapsed="false">
      <c r="A13" s="1" t="s">
        <v>178</v>
      </c>
      <c r="B13" s="5" t="n">
        <v>0.39</v>
      </c>
      <c r="C13" s="5" t="n">
        <v>0.42</v>
      </c>
      <c r="D13" s="5" t="n">
        <v>0.45</v>
      </c>
      <c r="E13" s="5" t="n">
        <v>0.49</v>
      </c>
    </row>
    <row r="14" customFormat="false" ht="12.75" hidden="false" customHeight="false" outlineLevel="0" collapsed="false">
      <c r="A14" s="1" t="s">
        <v>179</v>
      </c>
      <c r="B14" s="5" t="n">
        <v>1.49</v>
      </c>
      <c r="C14" s="5" t="n">
        <v>1.52</v>
      </c>
      <c r="D14" s="5" t="n">
        <v>1.56</v>
      </c>
      <c r="E14" s="5" t="n">
        <v>1.59</v>
      </c>
    </row>
    <row r="15" customFormat="false" ht="12.75" hidden="false" customHeight="false" outlineLevel="0" collapsed="false">
      <c r="A15" s="1" t="s">
        <v>180</v>
      </c>
      <c r="B15" s="5" t="n">
        <v>0.98</v>
      </c>
      <c r="C15" s="5" t="n">
        <v>1.01</v>
      </c>
      <c r="D15" s="5" t="n">
        <v>1.04</v>
      </c>
      <c r="E15" s="5" t="n">
        <v>1.07</v>
      </c>
    </row>
    <row r="16" customFormat="false" ht="12.75" hidden="false" customHeight="false" outlineLevel="0" collapsed="false">
      <c r="A16" s="1" t="s">
        <v>181</v>
      </c>
      <c r="B16" s="5" t="n">
        <v>0.63</v>
      </c>
      <c r="C16" s="5" t="n">
        <v>0.66</v>
      </c>
      <c r="D16" s="5" t="n">
        <v>0.69</v>
      </c>
      <c r="E16" s="5" t="n">
        <v>0.73</v>
      </c>
    </row>
    <row r="17" customFormat="false" ht="12.75" hidden="false" customHeight="false" outlineLevel="0" collapsed="false">
      <c r="A17" s="1" t="s">
        <v>182</v>
      </c>
      <c r="B17" s="5" t="n">
        <v>1.08</v>
      </c>
      <c r="C17" s="5" t="n">
        <v>1.11</v>
      </c>
      <c r="D17" s="5" t="n">
        <v>1.14</v>
      </c>
      <c r="E17" s="5" t="n">
        <v>1.17</v>
      </c>
    </row>
    <row r="18" customFormat="false" ht="12.75" hidden="false" customHeight="false" outlineLevel="0" collapsed="false">
      <c r="A18" s="1" t="s">
        <v>183</v>
      </c>
      <c r="B18" s="5" t="n">
        <v>0.73</v>
      </c>
      <c r="C18" s="5" t="n">
        <v>0.76</v>
      </c>
      <c r="D18" s="5" t="n">
        <v>0.79</v>
      </c>
      <c r="E18" s="5" t="n">
        <v>0.83</v>
      </c>
    </row>
    <row r="19" customFormat="false" ht="12.75" hidden="false" customHeight="false" outlineLevel="0" collapsed="false">
      <c r="A19" s="1" t="s">
        <v>184</v>
      </c>
      <c r="B19" s="5" t="n">
        <v>0.38</v>
      </c>
      <c r="C19" s="5" t="n">
        <v>0.41</v>
      </c>
      <c r="D19" s="5" t="n">
        <v>0.45</v>
      </c>
      <c r="E19" s="5" t="n">
        <v>0.48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6" min="1" style="0" width="17"/>
  </cols>
  <sheetData>
    <row r="1" customFormat="false" ht="12.75" hidden="false" customHeight="false" outlineLevel="0" collapsed="false">
      <c r="A1" s="8" t="s">
        <v>185</v>
      </c>
      <c r="B1" s="8" t="s">
        <v>186</v>
      </c>
      <c r="C1" s="8" t="s">
        <v>187</v>
      </c>
      <c r="D1" s="8" t="s">
        <v>188</v>
      </c>
    </row>
    <row r="2" customFormat="false" ht="12.75" hidden="false" customHeight="false" outlineLevel="0" collapsed="false">
      <c r="A2" s="8" t="s">
        <v>189</v>
      </c>
      <c r="B2" s="8" t="s">
        <v>190</v>
      </c>
      <c r="C2" s="8" t="s">
        <v>191</v>
      </c>
      <c r="D2" s="8" t="s">
        <v>192</v>
      </c>
      <c r="F2" s="8"/>
    </row>
    <row r="3" customFormat="false" ht="12.75" hidden="false" customHeight="false" outlineLevel="0" collapsed="false">
      <c r="A3" s="9" t="n">
        <v>1</v>
      </c>
      <c r="B3" s="10" t="n">
        <f aca="false">equipamento!$B$11/(A3*equipamento!$B$10)</f>
        <v>12.6948848057831</v>
      </c>
      <c r="C3" s="10" t="n">
        <f aca="false">(equipamento!$B$2/equipamento!$B$3)*B3</f>
        <v>7.25421988901889</v>
      </c>
      <c r="D3" s="10" t="n">
        <f aca="false">IF(B3&lt;=8,B3*tarifa!$E$10*equipamento!$B$5,8*tarifa!$E$10*equipamento!$B$5+((B3-8)*tarifa!$E$9*equipamento!$B$5))</f>
        <v>1296.93141803741</v>
      </c>
    </row>
    <row r="4" customFormat="false" ht="12.75" hidden="false" customHeight="false" outlineLevel="0" collapsed="false">
      <c r="A4" s="9" t="n">
        <v>0.95</v>
      </c>
      <c r="B4" s="10" t="n">
        <f aca="false">equipamento!$B$11/(A4*equipamento!$B$10)</f>
        <v>13.3630366376664</v>
      </c>
      <c r="C4" s="10" t="n">
        <f aca="false">(equipamento!$B$2/equipamento!$B$3)*B4</f>
        <v>7.63602093580936</v>
      </c>
      <c r="D4" s="10" t="n">
        <f aca="false">IF(B4&lt;=8,B4*tarifa!$E$10*equipamento!$B$5,8*tarifa!$E$10*equipamento!$B$5+((B4-8)*tarifa!$E$9*equipamento!$B$5))</f>
        <v>1383.55169056569</v>
      </c>
    </row>
    <row r="5" customFormat="false" ht="12.75" hidden="false" customHeight="false" outlineLevel="0" collapsed="false">
      <c r="A5" s="9" t="n">
        <v>0.9</v>
      </c>
      <c r="B5" s="10" t="n">
        <f aca="false">equipamento!$B$11/(A5*equipamento!$B$10)</f>
        <v>14.1054275619812</v>
      </c>
      <c r="C5" s="10" t="n">
        <f aca="false">(equipamento!$B$2/equipamento!$B$3)*B5</f>
        <v>8.0602443211321</v>
      </c>
      <c r="D5" s="10" t="n">
        <f aca="false">IF(B5&lt;=8,B5*tarifa!$E$10*equipamento!$B$5,8*tarifa!$E$10*equipamento!$B$5+((B5-8)*tarifa!$E$9*equipamento!$B$5))</f>
        <v>1479.79643781934</v>
      </c>
    </row>
    <row r="6" customFormat="false" ht="12.75" hidden="false" customHeight="false" outlineLevel="0" collapsed="false">
      <c r="A6" s="9" t="n">
        <v>0.85</v>
      </c>
      <c r="B6" s="10" t="n">
        <f aca="false">equipamento!$B$11/(A6*equipamento!$B$10)</f>
        <v>14.9351585950389</v>
      </c>
      <c r="C6" s="10" t="n">
        <f aca="false">(equipamento!$B$2/equipamento!$B$3)*B6</f>
        <v>8.53437634002223</v>
      </c>
      <c r="D6" s="10" t="n">
        <f aca="false">IF(B6&lt;=8,B6*tarifa!$E$10*equipamento!$B$5,8*tarifa!$E$10*equipamento!$B$5+((B6-8)*tarifa!$E$9*equipamento!$B$5))</f>
        <v>1587.3640965146</v>
      </c>
    </row>
    <row r="7" customFormat="false" ht="12.75" hidden="false" customHeight="false" outlineLevel="0" collapsed="false">
      <c r="A7" s="9" t="n">
        <v>0.8</v>
      </c>
      <c r="B7" s="10" t="n">
        <f aca="false">equipamento!$B$11/(A7*equipamento!$B$10)</f>
        <v>15.8686060072288</v>
      </c>
      <c r="C7" s="10" t="n">
        <f aca="false">(equipamento!$B$2/equipamento!$B$3)*B7</f>
        <v>9.06777486127362</v>
      </c>
      <c r="D7" s="10" t="n">
        <f aca="false">IF(B7&lt;=8,B7*tarifa!$E$10*equipamento!$B$5,8*tarifa!$E$10*equipamento!$B$5+((B7-8)*tarifa!$E$9*equipamento!$B$5))</f>
        <v>1708.37771254676</v>
      </c>
    </row>
    <row r="8" customFormat="false" ht="12.75" hidden="false" customHeight="false" outlineLevel="0" collapsed="false">
      <c r="A8" s="9" t="n">
        <v>0.75</v>
      </c>
      <c r="B8" s="10" t="n">
        <f aca="false">equipamento!$B$11/(A8*equipamento!$B$10)</f>
        <v>16.9265130743774</v>
      </c>
      <c r="C8" s="10" t="n">
        <f aca="false">(equipamento!$B$2/equipamento!$B$3)*B8</f>
        <v>9.67229318535853</v>
      </c>
      <c r="D8" s="10" t="n">
        <f aca="false">IF(B8&lt;=8,B8*tarifa!$E$10*equipamento!$B$5,8*tarifa!$E$10*equipamento!$B$5+((B8-8)*tarifa!$E$9*equipamento!$B$5))</f>
        <v>1845.52647738321</v>
      </c>
    </row>
    <row r="9" customFormat="false" ht="12.75" hidden="false" customHeight="false" outlineLevel="0" collapsed="false">
      <c r="A9" s="9" t="n">
        <v>0.7</v>
      </c>
      <c r="B9" s="10" t="n">
        <f aca="false">equipamento!$B$11/(A9*equipamento!$B$10)</f>
        <v>18.1355497225472</v>
      </c>
      <c r="C9" s="10" t="n">
        <f aca="false">(equipamento!$B$2/equipamento!$B$3)*B9</f>
        <v>10.363171270027</v>
      </c>
      <c r="D9" s="10" t="n">
        <f aca="false">IF(B9&lt;=8,B9*tarifa!$E$10*equipamento!$B$5,8*tarifa!$E$10*equipamento!$B$5+((B9-8)*tarifa!$E$9*equipamento!$B$5))</f>
        <v>2002.26792291058</v>
      </c>
    </row>
    <row r="10" customFormat="false" ht="12.75" hidden="false" customHeight="false" outlineLevel="0" collapsed="false">
      <c r="A10" s="9" t="n">
        <v>0.65</v>
      </c>
      <c r="B10" s="10" t="n">
        <f aca="false">equipamento!$B$11/(A10*equipamento!$B$10)</f>
        <v>19.530592008897</v>
      </c>
      <c r="C10" s="10" t="n">
        <f aca="false">(equipamento!$B$2/equipamento!$B$3)*B10</f>
        <v>11.1603382907983</v>
      </c>
      <c r="D10" s="10" t="n">
        <f aca="false">IF(B10&lt;=8,B10*tarifa!$E$10*equipamento!$B$5,8*tarifa!$E$10*equipamento!$B$5+((B10-8)*tarifa!$E$9*equipamento!$B$5))</f>
        <v>2183.12343698062</v>
      </c>
    </row>
    <row r="11" customFormat="false" ht="12.75" hidden="false" customHeight="false" outlineLevel="0" collapsed="false">
      <c r="A11" s="9" t="n">
        <v>0.6</v>
      </c>
      <c r="B11" s="10" t="n">
        <f aca="false">equipamento!$B$11/(A11*equipamento!$B$10)</f>
        <v>21.1581413429718</v>
      </c>
      <c r="C11" s="10" t="n">
        <f aca="false">(equipamento!$B$2/equipamento!$B$3)*B11</f>
        <v>12.0903664816982</v>
      </c>
      <c r="D11" s="10" t="n">
        <f aca="false">IF(B11&lt;=8,B11*tarifa!$E$10*equipamento!$B$5,8*tarifa!$E$10*equipamento!$B$5+((B11-8)*tarifa!$E$9*equipamento!$B$5))</f>
        <v>2394.12153672901</v>
      </c>
    </row>
    <row r="12" customFormat="false" ht="12.75" hidden="false" customHeight="false" outlineLevel="0" collapsed="false">
      <c r="A12" s="9" t="n">
        <v>0.55</v>
      </c>
      <c r="B12" s="10" t="n">
        <f aca="false">equipamento!$B$11/(A12*equipamento!$B$10)</f>
        <v>23.0816087377874</v>
      </c>
      <c r="C12" s="10" t="n">
        <f aca="false">(equipamento!$B$2/equipamento!$B$3)*B12</f>
        <v>13.1894907073071</v>
      </c>
      <c r="D12" s="10" t="n">
        <f aca="false">IF(B12&lt;=8,B12*tarifa!$E$10*equipamento!$B$5,8*tarifa!$E$10*equipamento!$B$5+((B12-8)*tarifa!$E$9*equipamento!$B$5))</f>
        <v>2643.48292734074</v>
      </c>
    </row>
    <row r="13" customFormat="false" ht="12.75" hidden="false" customHeight="false" outlineLevel="0" collapsed="false">
      <c r="A13" s="9" t="n">
        <v>0.5</v>
      </c>
      <c r="B13" s="10" t="n">
        <f aca="false">equipamento!$B$11/(A13*equipamento!$B$10)</f>
        <v>25.3897696115661</v>
      </c>
      <c r="C13" s="10" t="n">
        <f aca="false">(equipamento!$B$2/equipamento!$B$3)*B13</f>
        <v>14.5084397780378</v>
      </c>
      <c r="D13" s="10" t="n">
        <f aca="false">IF(B13&lt;=8,B13*tarifa!$E$10*equipamento!$B$5,8*tarifa!$E$10*equipamento!$B$5+((B13-8)*tarifa!$E$9*equipamento!$B$5))</f>
        <v>2942.71659607481</v>
      </c>
    </row>
    <row r="14" customFormat="false" ht="12.75" hidden="false" customHeight="false" outlineLevel="0" collapsed="false">
      <c r="A14" s="9" t="n">
        <v>0.45</v>
      </c>
      <c r="B14" s="10" t="n">
        <f aca="false">equipamento!$B$11/(A14*equipamento!$B$10)</f>
        <v>28.2108551239624</v>
      </c>
      <c r="C14" s="10" t="n">
        <f aca="false">(equipamento!$B$2/equipamento!$B$3)*B14</f>
        <v>16.1204886422642</v>
      </c>
      <c r="D14" s="10" t="n">
        <f aca="false">IF(B14&lt;=8,B14*tarifa!$E$10*equipamento!$B$5,8*tarifa!$E$10*equipamento!$B$5+((B14-8)*tarifa!$E$9*equipamento!$B$5))</f>
        <v>3308.44663563868</v>
      </c>
    </row>
    <row r="15" customFormat="false" ht="12.75" hidden="false" customHeight="false" outlineLevel="0" collapsed="false">
      <c r="A15" s="9" t="n">
        <v>0.4</v>
      </c>
      <c r="B15" s="10" t="n">
        <f aca="false">equipamento!$B$11/(A15*equipamento!$B$10)</f>
        <v>31.7372120144577</v>
      </c>
      <c r="C15" s="10" t="n">
        <f aca="false">(equipamento!$B$2/equipamento!$B$3)*B15</f>
        <v>18.1355497225472</v>
      </c>
      <c r="D15" s="10" t="n">
        <f aca="false">IF(B15&lt;=8,B15*tarifa!$E$10*equipamento!$B$5,8*tarifa!$E$10*equipamento!$B$5+((B15-8)*tarifa!$E$9*equipamento!$B$5))</f>
        <v>3765.60918509351</v>
      </c>
    </row>
    <row r="16" customFormat="false" ht="12.75" hidden="false" customHeight="false" outlineLevel="0" collapsed="false">
      <c r="A16" s="9" t="n">
        <v>0.35</v>
      </c>
      <c r="B16" s="10" t="n">
        <f aca="false">equipamento!$B$11/(A16*equipamento!$B$10)</f>
        <v>36.2710994450945</v>
      </c>
      <c r="C16" s="10" t="n">
        <f aca="false">(equipamento!$B$2/equipamento!$B$3)*B16</f>
        <v>20.726342540054</v>
      </c>
      <c r="D16" s="10" t="n">
        <f aca="false">IF(B16&lt;=8,B16*tarifa!$E$10*equipamento!$B$5,8*tarifa!$E$10*equipamento!$B$5+((B16-8)*tarifa!$E$9*equipamento!$B$5))</f>
        <v>4353.38960582116</v>
      </c>
    </row>
    <row r="17" customFormat="false" ht="12.75" hidden="false" customHeight="false" outlineLevel="0" collapsed="false">
      <c r="A17" s="9" t="n">
        <v>0.3</v>
      </c>
      <c r="B17" s="10" t="n">
        <f aca="false">equipamento!$B$11/(A17*equipamento!$B$10)</f>
        <v>42.3162826859436</v>
      </c>
      <c r="C17" s="10" t="n">
        <f aca="false">(equipamento!$B$2/equipamento!$B$3)*B17</f>
        <v>24.1807329633963</v>
      </c>
      <c r="D17" s="10" t="n">
        <f aca="false">IF(B17&lt;=8,B17*tarifa!$E$10*equipamento!$B$5,8*tarifa!$E$10*equipamento!$B$5+((B17-8)*tarifa!$E$9*equipamento!$B$5))</f>
        <v>5137.09683345802</v>
      </c>
    </row>
    <row r="18" customFormat="false" ht="12.75" hidden="false" customHeight="false" outlineLevel="0" collapsed="false">
      <c r="A18" s="9" t="n">
        <v>0.25</v>
      </c>
      <c r="B18" s="10" t="n">
        <f aca="false">equipamento!$B$11/(A18*equipamento!$B$10)</f>
        <v>50.7795392231323</v>
      </c>
      <c r="C18" s="10" t="n">
        <f aca="false">(equipamento!$B$2/equipamento!$B$3)*B18</f>
        <v>29.0168795560756</v>
      </c>
      <c r="D18" s="10" t="n">
        <f aca="false">IF(B18&lt;=8,B18*tarifa!$E$10*equipamento!$B$5,8*tarifa!$E$10*equipamento!$B$5+((B18-8)*tarifa!$E$9*equipamento!$B$5))</f>
        <v>6234.28695214962</v>
      </c>
    </row>
    <row r="19" customFormat="false" ht="12.75" hidden="false" customHeight="false" outlineLevel="0" collapsed="false">
      <c r="A19" s="9" t="n">
        <v>0.2</v>
      </c>
      <c r="B19" s="10" t="n">
        <f aca="false">equipamento!$B$11/(A19*equipamento!$B$10)</f>
        <v>63.4744240289153</v>
      </c>
      <c r="C19" s="10" t="n">
        <f aca="false">(equipamento!$B$2/equipamento!$B$3)*B19</f>
        <v>36.2710994450945</v>
      </c>
      <c r="D19" s="10" t="n">
        <f aca="false">IF(B19&lt;=8,B19*tarifa!$E$10*equipamento!$B$5,8*tarifa!$E$10*equipamento!$B$5+((B19-8)*tarifa!$E$9*equipamento!$B$5))</f>
        <v>7880.07213018703</v>
      </c>
    </row>
    <row r="20" customFormat="false" ht="15.75" hidden="false" customHeight="true" outlineLevel="0" collapsed="false">
      <c r="A20" s="9" t="n">
        <v>0.15</v>
      </c>
      <c r="B20" s="10" t="n">
        <f aca="false">equipamento!$B$11/(A20*equipamento!$B$10)</f>
        <v>84.6325653718871</v>
      </c>
      <c r="C20" s="10" t="n">
        <f aca="false">(equipamento!$B$2/equipamento!$B$3)*B20</f>
        <v>48.3614659267926</v>
      </c>
      <c r="D20" s="10" t="n">
        <f aca="false">IF(B20&lt;=8,B20*tarifa!$E$10*equipamento!$B$5,8*tarifa!$E$10*equipamento!$B$5+((B20-8)*tarifa!$E$9*equipamento!$B$5))</f>
        <v>10623.047426916</v>
      </c>
    </row>
    <row r="21" customFormat="false" ht="15.75" hidden="false" customHeight="true" outlineLevel="0" collapsed="false">
      <c r="A21" s="9" t="n">
        <v>0.1</v>
      </c>
      <c r="B21" s="10" t="n">
        <f aca="false">equipamento!$B$11/(A21*equipamento!$B$10)</f>
        <v>126.948848057831</v>
      </c>
      <c r="C21" s="10" t="n">
        <f aca="false">(equipamento!$B$2/equipamento!$B$3)*B21</f>
        <v>72.5421988901889</v>
      </c>
      <c r="D21" s="10" t="n">
        <f aca="false">IF(B21&lt;=8,B21*tarifa!$E$10*equipamento!$B$5,8*tarifa!$E$10*equipamento!$B$5+((B21-8)*tarifa!$E$9*equipamento!$B$5))</f>
        <v>16108.9980203741</v>
      </c>
    </row>
    <row r="22" customFormat="false" ht="15.75" hidden="false" customHeight="true" outlineLevel="0" collapsed="false">
      <c r="A22" s="9" t="n">
        <v>0.0499999999999999</v>
      </c>
      <c r="B22" s="10" t="n">
        <f aca="false">equipamento!$B$11/(A22*equipamento!$B$10)</f>
        <v>253.897696115662</v>
      </c>
      <c r="C22" s="10" t="n">
        <f aca="false">(equipamento!$B$2/equipamento!$B$3)*B22</f>
        <v>145.084397780378</v>
      </c>
      <c r="D22" s="10" t="n">
        <f aca="false">IF(B22&lt;=8,B22*tarifa!$E$10*equipamento!$B$5,8*tarifa!$E$10*equipamento!$B$5+((B22-8)*tarifa!$E$9*equipamento!$B$5))</f>
        <v>32566.8498007482</v>
      </c>
    </row>
    <row r="23" customFormat="false" ht="15.75" hidden="false" customHeight="true" outlineLevel="0" collapsed="false">
      <c r="A23" s="9" t="n">
        <v>0</v>
      </c>
      <c r="B23" s="8" t="n">
        <v>0</v>
      </c>
      <c r="C23" s="8" t="n">
        <v>0</v>
      </c>
      <c r="D23" s="10" t="n">
        <f aca="false">IF(B23&lt;=8,B23*tarifa!$E$10*equipamento!$B$5,8*tarifa!$E$10*equipamento!$B$5+((B23-8)*tarifa!$E$9*equipamento!$B$5))</f>
        <v>0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A2:E1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6" min="1" style="0" width="17"/>
  </cols>
  <sheetData>
    <row r="1" customFormat="false" ht="13.8" hidden="false" customHeight="false" outlineLevel="0" collapsed="false">
      <c r="A1" s="8" t="s">
        <v>185</v>
      </c>
      <c r="B1" s="8" t="s">
        <v>186</v>
      </c>
      <c r="C1" s="8" t="s">
        <v>187</v>
      </c>
      <c r="D1" s="8" t="s">
        <v>188</v>
      </c>
      <c r="E1" s="11" t="s">
        <v>193</v>
      </c>
    </row>
    <row r="2" customFormat="false" ht="12.75" hidden="false" customHeight="false" outlineLevel="0" collapsed="false">
      <c r="A2" s="12" t="n">
        <v>1</v>
      </c>
      <c r="B2" s="13" t="n">
        <v>5.25</v>
      </c>
      <c r="C2" s="13" t="n">
        <v>3</v>
      </c>
      <c r="D2" s="13" t="n">
        <v>35.79</v>
      </c>
      <c r="E2" s="14" t="n">
        <f aca="false">INT(0)</f>
        <v>0</v>
      </c>
      <c r="F2" s="8"/>
    </row>
    <row r="3" customFormat="false" ht="12.75" hidden="false" customHeight="false" outlineLevel="0" collapsed="false">
      <c r="A3" s="12" t="n">
        <v>0.75</v>
      </c>
      <c r="B3" s="13" t="n">
        <v>7</v>
      </c>
      <c r="C3" s="13" t="n">
        <v>4</v>
      </c>
      <c r="D3" s="13" t="n">
        <v>47.72</v>
      </c>
      <c r="E3" s="14" t="n">
        <f aca="false">INT(1)</f>
        <v>1</v>
      </c>
    </row>
    <row r="4" customFormat="false" ht="12.75" hidden="false" customHeight="false" outlineLevel="0" collapsed="false">
      <c r="A4" s="12" t="n">
        <v>0.6</v>
      </c>
      <c r="B4" s="13" t="n">
        <v>8.75</v>
      </c>
      <c r="C4" s="13" t="n">
        <v>5</v>
      </c>
      <c r="D4" s="13" t="n">
        <v>68.54</v>
      </c>
      <c r="E4" s="14" t="n">
        <f aca="false">INT(2)</f>
        <v>2</v>
      </c>
    </row>
    <row r="5" customFormat="false" ht="12.75" hidden="false" customHeight="false" outlineLevel="0" collapsed="false">
      <c r="A5" s="12" t="n">
        <v>0.5</v>
      </c>
      <c r="B5" s="13" t="n">
        <v>10.5</v>
      </c>
      <c r="C5" s="13" t="n">
        <v>6</v>
      </c>
      <c r="D5" s="13" t="n">
        <v>101.19</v>
      </c>
      <c r="E5" s="14" t="n">
        <f aca="false">INT(3)</f>
        <v>3</v>
      </c>
    </row>
    <row r="6" customFormat="false" ht="12.75" hidden="false" customHeight="false" outlineLevel="0" collapsed="false">
      <c r="A6" s="12" t="n">
        <v>0.43</v>
      </c>
      <c r="B6" s="13" t="n">
        <v>12.25</v>
      </c>
      <c r="C6" s="13" t="n">
        <v>7</v>
      </c>
      <c r="D6" s="13" t="n">
        <v>133.84</v>
      </c>
      <c r="E6" s="14" t="n">
        <f aca="false">INT(4)</f>
        <v>4</v>
      </c>
    </row>
    <row r="7" customFormat="false" ht="12.75" hidden="false" customHeight="false" outlineLevel="0" collapsed="false">
      <c r="A7" s="12" t="n">
        <v>0.38</v>
      </c>
      <c r="B7" s="13" t="n">
        <v>14</v>
      </c>
      <c r="C7" s="13" t="n">
        <v>8</v>
      </c>
      <c r="D7" s="13" t="n">
        <v>166.49</v>
      </c>
      <c r="E7" s="14" t="n">
        <f aca="false">INT(5)</f>
        <v>5</v>
      </c>
    </row>
    <row r="8" customFormat="false" ht="12.75" hidden="false" customHeight="false" outlineLevel="0" collapsed="false">
      <c r="A8" s="12" t="n">
        <v>0.33</v>
      </c>
      <c r="B8" s="13" t="n">
        <v>15.75</v>
      </c>
      <c r="C8" s="13" t="n">
        <v>9</v>
      </c>
      <c r="D8" s="13" t="n">
        <v>199.14</v>
      </c>
      <c r="E8" s="14" t="n">
        <f aca="false">INT(6)</f>
        <v>6</v>
      </c>
    </row>
    <row r="9" customFormat="false" ht="12.75" hidden="false" customHeight="false" outlineLevel="0" collapsed="false">
      <c r="A9" s="12" t="n">
        <v>0.3</v>
      </c>
      <c r="B9" s="13" t="n">
        <v>17.5</v>
      </c>
      <c r="C9" s="13" t="n">
        <v>10</v>
      </c>
      <c r="D9" s="13" t="n">
        <v>231.79</v>
      </c>
      <c r="E9" s="14" t="n">
        <f aca="false">INT(7)</f>
        <v>7</v>
      </c>
    </row>
    <row r="10" customFormat="false" ht="12.75" hidden="false" customHeight="false" outlineLevel="0" collapsed="false">
      <c r="A10" s="12" t="n">
        <v>0.27</v>
      </c>
      <c r="B10" s="13" t="n">
        <v>19.25</v>
      </c>
      <c r="C10" s="13" t="n">
        <v>11</v>
      </c>
      <c r="D10" s="13" t="n">
        <v>264.44</v>
      </c>
      <c r="E10" s="14" t="n">
        <f aca="false">INT(8)</f>
        <v>8</v>
      </c>
    </row>
    <row r="11" customFormat="false" ht="15.75" hidden="false" customHeight="true" outlineLevel="0" collapsed="false">
      <c r="A11" s="12" t="n">
        <v>0.25</v>
      </c>
      <c r="B11" s="13" t="n">
        <v>21</v>
      </c>
      <c r="C11" s="13" t="n">
        <v>12</v>
      </c>
      <c r="D11" s="13" t="n">
        <v>297.09</v>
      </c>
      <c r="E11" s="14" t="n">
        <f aca="false">INT(9)</f>
        <v>9</v>
      </c>
    </row>
    <row r="12" customFormat="false" ht="15.75" hidden="false" customHeight="true" outlineLevel="0" collapsed="false">
      <c r="A12" s="12" t="n">
        <v>0</v>
      </c>
      <c r="B12" s="13" t="n">
        <v>0</v>
      </c>
      <c r="C12" s="13" t="n">
        <v>0</v>
      </c>
      <c r="D12" s="13" t="n">
        <v>0</v>
      </c>
      <c r="E12" s="14" t="n">
        <f aca="false">INT(10)</f>
        <v>10</v>
      </c>
    </row>
    <row r="13" customFormat="false" ht="15.75" hidden="false" customHeight="true" outlineLevel="0" collapsed="false">
      <c r="E13" s="11"/>
    </row>
    <row r="14" customFormat="false" ht="15.75" hidden="false" customHeight="true" outlineLevel="0" collapsed="false">
      <c r="E14" s="11"/>
    </row>
    <row r="15" customFormat="false" ht="15.75" hidden="false" customHeight="true" outlineLevel="0" collapsed="false">
      <c r="E15" s="11"/>
    </row>
    <row r="16" customFormat="false" ht="15.75" hidden="false" customHeight="true" outlineLevel="0" collapsed="false">
      <c r="E16" s="11"/>
    </row>
    <row r="17" customFormat="false" ht="15.75" hidden="false" customHeight="true" outlineLevel="0" collapsed="false">
      <c r="E17" s="11"/>
    </row>
    <row r="18" customFormat="false" ht="15.75" hidden="false" customHeight="true" outlineLevel="0" collapsed="false">
      <c r="E18" s="11"/>
    </row>
    <row r="19" customFormat="false" ht="15.75" hidden="false" customHeight="true" outlineLevel="0" collapsed="false">
      <c r="E19" s="11"/>
    </row>
    <row r="20" customFormat="false" ht="15.75" hidden="false" customHeight="true" outlineLevel="0" collapsed="false">
      <c r="E20" s="11"/>
    </row>
    <row r="21" customFormat="false" ht="15.75" hidden="false" customHeight="true" outlineLevel="0" collapsed="false">
      <c r="E21" s="11"/>
    </row>
    <row r="22" customFormat="false" ht="15.75" hidden="false" customHeight="true" outlineLevel="0" collapsed="false">
      <c r="E22" s="11"/>
    </row>
    <row r="23" customFormat="false" ht="15.75" hidden="false" customHeight="true" outlineLevel="0" collapsed="false">
      <c r="E23" s="11"/>
    </row>
    <row r="24" customFormat="false" ht="15.75" hidden="false" customHeight="true" outlineLevel="0" collapsed="false">
      <c r="E24" s="11"/>
    </row>
    <row r="25" customFormat="false" ht="15.75" hidden="false" customHeight="true" outlineLevel="0" collapsed="false">
      <c r="E25" s="11"/>
    </row>
    <row r="26" customFormat="false" ht="15.75" hidden="false" customHeight="true" outlineLevel="0" collapsed="false">
      <c r="E26" s="11"/>
    </row>
    <row r="27" customFormat="false" ht="15.75" hidden="false" customHeight="true" outlineLevel="0" collapsed="false">
      <c r="E27" s="11"/>
    </row>
    <row r="28" customFormat="false" ht="15.75" hidden="false" customHeight="true" outlineLevel="0" collapsed="false">
      <c r="E28" s="11"/>
    </row>
    <row r="29" customFormat="false" ht="15.75" hidden="false" customHeight="true" outlineLevel="0" collapsed="false">
      <c r="E29" s="11"/>
    </row>
    <row r="30" customFormat="false" ht="15.75" hidden="false" customHeight="true" outlineLevel="0" collapsed="false">
      <c r="E30" s="11"/>
    </row>
    <row r="31" customFormat="false" ht="15.75" hidden="false" customHeight="true" outlineLevel="0" collapsed="false">
      <c r="E31" s="11"/>
    </row>
    <row r="32" customFormat="false" ht="15.75" hidden="false" customHeight="true" outlineLevel="0" collapsed="false">
      <c r="E32" s="11"/>
    </row>
    <row r="33" customFormat="false" ht="15.75" hidden="false" customHeight="true" outlineLevel="0" collapsed="false">
      <c r="E33" s="11"/>
    </row>
    <row r="34" customFormat="false" ht="15.75" hidden="false" customHeight="true" outlineLevel="0" collapsed="false">
      <c r="E34" s="11"/>
    </row>
    <row r="35" customFormat="false" ht="15.75" hidden="false" customHeight="true" outlineLevel="0" collapsed="false">
      <c r="E35" s="11"/>
    </row>
    <row r="36" customFormat="false" ht="15.75" hidden="false" customHeight="true" outlineLevel="0" collapsed="false">
      <c r="E36" s="11"/>
    </row>
    <row r="37" customFormat="false" ht="15.75" hidden="false" customHeight="true" outlineLevel="0" collapsed="false">
      <c r="E37" s="11"/>
    </row>
    <row r="38" customFormat="false" ht="15.75" hidden="false" customHeight="true" outlineLevel="0" collapsed="false">
      <c r="E38" s="11"/>
    </row>
    <row r="39" customFormat="false" ht="15.75" hidden="false" customHeight="true" outlineLevel="0" collapsed="false">
      <c r="E39" s="11"/>
    </row>
    <row r="40" customFormat="false" ht="15.75" hidden="false" customHeight="true" outlineLevel="0" collapsed="false">
      <c r="E40" s="11"/>
    </row>
    <row r="41" customFormat="false" ht="15.75" hidden="false" customHeight="true" outlineLevel="0" collapsed="false">
      <c r="E41" s="11"/>
    </row>
    <row r="42" customFormat="false" ht="15.75" hidden="false" customHeight="true" outlineLevel="0" collapsed="false">
      <c r="E42" s="11"/>
    </row>
    <row r="43" customFormat="false" ht="15.75" hidden="false" customHeight="true" outlineLevel="0" collapsed="false">
      <c r="E43" s="11"/>
    </row>
    <row r="44" customFormat="false" ht="15.75" hidden="false" customHeight="true" outlineLevel="0" collapsed="false">
      <c r="E44" s="11"/>
    </row>
    <row r="45" customFormat="false" ht="15.75" hidden="false" customHeight="true" outlineLevel="0" collapsed="false">
      <c r="E45" s="11"/>
    </row>
    <row r="46" customFormat="false" ht="15.75" hidden="false" customHeight="true" outlineLevel="0" collapsed="false">
      <c r="E46" s="11"/>
    </row>
    <row r="47" customFormat="false" ht="15.75" hidden="false" customHeight="true" outlineLevel="0" collapsed="false">
      <c r="E47" s="11"/>
    </row>
    <row r="48" customFormat="false" ht="15.75" hidden="false" customHeight="true" outlineLevel="0" collapsed="false">
      <c r="E48" s="11"/>
    </row>
    <row r="49" customFormat="false" ht="15.75" hidden="false" customHeight="true" outlineLevel="0" collapsed="false">
      <c r="E49" s="11"/>
    </row>
    <row r="50" customFormat="false" ht="15.75" hidden="false" customHeight="true" outlineLevel="0" collapsed="false">
      <c r="E50" s="11"/>
    </row>
    <row r="51" customFormat="false" ht="15.75" hidden="false" customHeight="true" outlineLevel="0" collapsed="false">
      <c r="E51" s="11"/>
    </row>
    <row r="52" customFormat="false" ht="15.75" hidden="false" customHeight="true" outlineLevel="0" collapsed="false">
      <c r="E52" s="11"/>
    </row>
    <row r="53" customFormat="false" ht="15.75" hidden="false" customHeight="true" outlineLevel="0" collapsed="false">
      <c r="E53" s="11"/>
    </row>
    <row r="54" customFormat="false" ht="15.75" hidden="false" customHeight="true" outlineLevel="0" collapsed="false">
      <c r="E54" s="11"/>
    </row>
    <row r="55" customFormat="false" ht="15.75" hidden="false" customHeight="true" outlineLevel="0" collapsed="false">
      <c r="E55" s="11"/>
    </row>
    <row r="56" customFormat="false" ht="15.75" hidden="false" customHeight="true" outlineLevel="0" collapsed="false">
      <c r="E56" s="11"/>
    </row>
    <row r="57" customFormat="false" ht="15.75" hidden="false" customHeight="true" outlineLevel="0" collapsed="false">
      <c r="E57" s="11"/>
    </row>
    <row r="58" customFormat="false" ht="15.75" hidden="false" customHeight="true" outlineLevel="0" collapsed="false">
      <c r="E58" s="11"/>
    </row>
    <row r="59" customFormat="false" ht="15.75" hidden="false" customHeight="true" outlineLevel="0" collapsed="false">
      <c r="E59" s="11"/>
    </row>
    <row r="60" customFormat="false" ht="15.75" hidden="false" customHeight="true" outlineLevel="0" collapsed="false">
      <c r="E60" s="11"/>
    </row>
    <row r="61" customFormat="false" ht="15.75" hidden="false" customHeight="true" outlineLevel="0" collapsed="false">
      <c r="E61" s="11"/>
    </row>
    <row r="62" customFormat="false" ht="15.75" hidden="false" customHeight="true" outlineLevel="0" collapsed="false">
      <c r="E62" s="11"/>
    </row>
    <row r="63" customFormat="false" ht="15.75" hidden="false" customHeight="true" outlineLevel="0" collapsed="false">
      <c r="E63" s="11"/>
    </row>
    <row r="64" customFormat="false" ht="15.75" hidden="false" customHeight="true" outlineLevel="0" collapsed="false">
      <c r="E64" s="11"/>
    </row>
    <row r="65" customFormat="false" ht="15.75" hidden="false" customHeight="true" outlineLevel="0" collapsed="false">
      <c r="E65" s="11"/>
    </row>
    <row r="66" customFormat="false" ht="15.75" hidden="false" customHeight="true" outlineLevel="0" collapsed="false">
      <c r="E66" s="11"/>
    </row>
    <row r="67" customFormat="false" ht="15.75" hidden="false" customHeight="true" outlineLevel="0" collapsed="false">
      <c r="E67" s="11"/>
    </row>
    <row r="68" customFormat="false" ht="15.75" hidden="false" customHeight="true" outlineLevel="0" collapsed="false">
      <c r="E68" s="11"/>
    </row>
    <row r="69" customFormat="false" ht="15.75" hidden="false" customHeight="true" outlineLevel="0" collapsed="false">
      <c r="E69" s="11"/>
    </row>
    <row r="70" customFormat="false" ht="15.75" hidden="false" customHeight="true" outlineLevel="0" collapsed="false">
      <c r="E70" s="11"/>
    </row>
    <row r="71" customFormat="false" ht="15.75" hidden="false" customHeight="true" outlineLevel="0" collapsed="false">
      <c r="E71" s="11"/>
    </row>
    <row r="72" customFormat="false" ht="15.75" hidden="false" customHeight="true" outlineLevel="0" collapsed="false">
      <c r="E72" s="11"/>
    </row>
    <row r="73" customFormat="false" ht="15.75" hidden="false" customHeight="true" outlineLevel="0" collapsed="false">
      <c r="E73" s="11"/>
    </row>
    <row r="74" customFormat="false" ht="15.75" hidden="false" customHeight="true" outlineLevel="0" collapsed="false">
      <c r="E74" s="11"/>
    </row>
    <row r="75" customFormat="false" ht="15.75" hidden="false" customHeight="true" outlineLevel="0" collapsed="false">
      <c r="E75" s="11"/>
    </row>
    <row r="76" customFormat="false" ht="15.75" hidden="false" customHeight="true" outlineLevel="0" collapsed="false">
      <c r="E76" s="11"/>
    </row>
    <row r="77" customFormat="false" ht="15.75" hidden="false" customHeight="true" outlineLevel="0" collapsed="false">
      <c r="E77" s="11"/>
    </row>
    <row r="78" customFormat="false" ht="15.75" hidden="false" customHeight="true" outlineLevel="0" collapsed="false">
      <c r="E78" s="11"/>
    </row>
    <row r="79" customFormat="false" ht="15.75" hidden="false" customHeight="true" outlineLevel="0" collapsed="false">
      <c r="E79" s="11"/>
    </row>
    <row r="80" customFormat="false" ht="15.75" hidden="false" customHeight="true" outlineLevel="0" collapsed="false">
      <c r="E80" s="11"/>
    </row>
    <row r="81" customFormat="false" ht="15.75" hidden="false" customHeight="true" outlineLevel="0" collapsed="false">
      <c r="E81" s="11"/>
    </row>
    <row r="82" customFormat="false" ht="15.75" hidden="false" customHeight="true" outlineLevel="0" collapsed="false">
      <c r="E82" s="11"/>
    </row>
    <row r="83" customFormat="false" ht="15.75" hidden="false" customHeight="true" outlineLevel="0" collapsed="false">
      <c r="E83" s="11"/>
    </row>
    <row r="84" customFormat="false" ht="15.75" hidden="false" customHeight="true" outlineLevel="0" collapsed="false">
      <c r="E84" s="11"/>
    </row>
    <row r="85" customFormat="false" ht="15.75" hidden="false" customHeight="true" outlineLevel="0" collapsed="false">
      <c r="E85" s="11"/>
    </row>
    <row r="86" customFormat="false" ht="15.75" hidden="false" customHeight="true" outlineLevel="0" collapsed="false">
      <c r="E86" s="11"/>
    </row>
    <row r="87" customFormat="false" ht="15.75" hidden="false" customHeight="true" outlineLevel="0" collapsed="false">
      <c r="E87" s="11"/>
    </row>
    <row r="88" customFormat="false" ht="15.75" hidden="false" customHeight="true" outlineLevel="0" collapsed="false">
      <c r="E88" s="11"/>
    </row>
    <row r="89" customFormat="false" ht="15.75" hidden="false" customHeight="true" outlineLevel="0" collapsed="false">
      <c r="E89" s="11"/>
    </row>
    <row r="90" customFormat="false" ht="15.75" hidden="false" customHeight="true" outlineLevel="0" collapsed="false">
      <c r="E90" s="11"/>
    </row>
    <row r="91" customFormat="false" ht="15.75" hidden="false" customHeight="true" outlineLevel="0" collapsed="false">
      <c r="E91" s="11"/>
    </row>
    <row r="92" customFormat="false" ht="15.75" hidden="false" customHeight="true" outlineLevel="0" collapsed="false">
      <c r="E92" s="11"/>
    </row>
    <row r="93" customFormat="false" ht="15.75" hidden="false" customHeight="true" outlineLevel="0" collapsed="false">
      <c r="E93" s="11"/>
    </row>
    <row r="94" customFormat="false" ht="15.75" hidden="false" customHeight="true" outlineLevel="0" collapsed="false">
      <c r="E94" s="11"/>
    </row>
    <row r="95" customFormat="false" ht="15.75" hidden="false" customHeight="true" outlineLevel="0" collapsed="false">
      <c r="E95" s="11"/>
    </row>
    <row r="96" customFormat="false" ht="15.75" hidden="false" customHeight="true" outlineLevel="0" collapsed="false">
      <c r="E96" s="11"/>
    </row>
    <row r="97" customFormat="false" ht="15.75" hidden="false" customHeight="true" outlineLevel="0" collapsed="false">
      <c r="E97" s="11"/>
    </row>
    <row r="98" customFormat="false" ht="15.75" hidden="false" customHeight="true" outlineLevel="0" collapsed="false">
      <c r="E98" s="11"/>
    </row>
    <row r="99" customFormat="false" ht="15.75" hidden="false" customHeight="true" outlineLevel="0" collapsed="false">
      <c r="E99" s="11"/>
    </row>
    <row r="100" customFormat="false" ht="15.75" hidden="false" customHeight="true" outlineLevel="0" collapsed="false">
      <c r="E100" s="11"/>
    </row>
    <row r="101" customFormat="false" ht="15.75" hidden="false" customHeight="true" outlineLevel="0" collapsed="false">
      <c r="E101" s="11"/>
    </row>
    <row r="102" customFormat="false" ht="15.75" hidden="false" customHeight="true" outlineLevel="0" collapsed="false">
      <c r="E102" s="11"/>
    </row>
    <row r="103" customFormat="false" ht="15.75" hidden="false" customHeight="true" outlineLevel="0" collapsed="false">
      <c r="E103" s="11"/>
    </row>
    <row r="104" customFormat="false" ht="15.75" hidden="false" customHeight="true" outlineLevel="0" collapsed="false">
      <c r="E104" s="11"/>
    </row>
    <row r="105" customFormat="false" ht="15.75" hidden="false" customHeight="true" outlineLevel="0" collapsed="false">
      <c r="E105" s="11"/>
    </row>
    <row r="106" customFormat="false" ht="15.75" hidden="false" customHeight="true" outlineLevel="0" collapsed="false">
      <c r="E106" s="11"/>
    </row>
    <row r="107" customFormat="false" ht="15.75" hidden="false" customHeight="true" outlineLevel="0" collapsed="false">
      <c r="E107" s="11"/>
    </row>
    <row r="108" customFormat="false" ht="15.75" hidden="false" customHeight="true" outlineLevel="0" collapsed="false">
      <c r="E108" s="11"/>
    </row>
    <row r="109" customFormat="false" ht="15.75" hidden="false" customHeight="true" outlineLevel="0" collapsed="false">
      <c r="E109" s="11"/>
    </row>
    <row r="110" customFormat="false" ht="15.75" hidden="false" customHeight="true" outlineLevel="0" collapsed="false">
      <c r="E110" s="11"/>
    </row>
    <row r="111" customFormat="false" ht="15.75" hidden="false" customHeight="true" outlineLevel="0" collapsed="false">
      <c r="E111" s="11"/>
    </row>
    <row r="112" customFormat="false" ht="15.75" hidden="false" customHeight="true" outlineLevel="0" collapsed="false">
      <c r="E112" s="11"/>
    </row>
    <row r="113" customFormat="false" ht="15.75" hidden="false" customHeight="true" outlineLevel="0" collapsed="false">
      <c r="E113" s="11"/>
    </row>
    <row r="114" customFormat="false" ht="15.75" hidden="false" customHeight="true" outlineLevel="0" collapsed="false">
      <c r="E114" s="11"/>
    </row>
    <row r="115" customFormat="false" ht="15.75" hidden="false" customHeight="true" outlineLevel="0" collapsed="false">
      <c r="E115" s="11"/>
    </row>
    <row r="116" customFormat="false" ht="15.75" hidden="false" customHeight="true" outlineLevel="0" collapsed="false">
      <c r="E116" s="11"/>
    </row>
    <row r="117" customFormat="false" ht="15.75" hidden="false" customHeight="true" outlineLevel="0" collapsed="false">
      <c r="E117" s="11"/>
    </row>
    <row r="118" customFormat="false" ht="15.75" hidden="false" customHeight="true" outlineLevel="0" collapsed="false">
      <c r="E118" s="11"/>
    </row>
    <row r="119" customFormat="false" ht="15.75" hidden="false" customHeight="true" outlineLevel="0" collapsed="false">
      <c r="E119" s="11"/>
    </row>
    <row r="120" customFormat="false" ht="15.75" hidden="false" customHeight="true" outlineLevel="0" collapsed="false">
      <c r="E120" s="11"/>
    </row>
    <row r="121" customFormat="false" ht="15.75" hidden="false" customHeight="true" outlineLevel="0" collapsed="false">
      <c r="E121" s="11"/>
    </row>
    <row r="122" customFormat="false" ht="15.75" hidden="false" customHeight="true" outlineLevel="0" collapsed="false">
      <c r="E122" s="11"/>
    </row>
    <row r="123" customFormat="false" ht="15.75" hidden="false" customHeight="true" outlineLevel="0" collapsed="false">
      <c r="E123" s="11"/>
    </row>
    <row r="124" customFormat="false" ht="15.75" hidden="false" customHeight="true" outlineLevel="0" collapsed="false">
      <c r="E124" s="11"/>
    </row>
    <row r="125" customFormat="false" ht="15.75" hidden="false" customHeight="true" outlineLevel="0" collapsed="false">
      <c r="E125" s="11"/>
    </row>
    <row r="126" customFormat="false" ht="15.75" hidden="false" customHeight="true" outlineLevel="0" collapsed="false">
      <c r="E126" s="11"/>
    </row>
    <row r="127" customFormat="false" ht="15.75" hidden="false" customHeight="true" outlineLevel="0" collapsed="false">
      <c r="E127" s="11"/>
    </row>
    <row r="128" customFormat="false" ht="15.75" hidden="false" customHeight="true" outlineLevel="0" collapsed="false">
      <c r="E128" s="11"/>
    </row>
    <row r="129" customFormat="false" ht="15.75" hidden="false" customHeight="true" outlineLevel="0" collapsed="false">
      <c r="E129" s="11"/>
    </row>
    <row r="130" customFormat="false" ht="15.75" hidden="false" customHeight="true" outlineLevel="0" collapsed="false">
      <c r="E130" s="11"/>
    </row>
    <row r="131" customFormat="false" ht="15.75" hidden="false" customHeight="true" outlineLevel="0" collapsed="false">
      <c r="E131" s="11"/>
    </row>
    <row r="132" customFormat="false" ht="15.75" hidden="false" customHeight="true" outlineLevel="0" collapsed="false">
      <c r="E132" s="11"/>
    </row>
    <row r="133" customFormat="false" ht="15.75" hidden="false" customHeight="true" outlineLevel="0" collapsed="false">
      <c r="E133" s="11"/>
    </row>
    <row r="134" customFormat="false" ht="15.75" hidden="false" customHeight="true" outlineLevel="0" collapsed="false">
      <c r="E134" s="11"/>
    </row>
    <row r="135" customFormat="false" ht="15.75" hidden="false" customHeight="true" outlineLevel="0" collapsed="false">
      <c r="E135" s="11"/>
    </row>
    <row r="136" customFormat="false" ht="15.75" hidden="false" customHeight="true" outlineLevel="0" collapsed="false">
      <c r="E136" s="11"/>
    </row>
    <row r="137" customFormat="false" ht="15.75" hidden="false" customHeight="true" outlineLevel="0" collapsed="false">
      <c r="E137" s="11"/>
    </row>
    <row r="138" customFormat="false" ht="15.75" hidden="false" customHeight="true" outlineLevel="0" collapsed="false">
      <c r="E138" s="11"/>
    </row>
    <row r="139" customFormat="false" ht="15.75" hidden="false" customHeight="true" outlineLevel="0" collapsed="false">
      <c r="E139" s="11"/>
    </row>
    <row r="140" customFormat="false" ht="15.75" hidden="false" customHeight="true" outlineLevel="0" collapsed="false">
      <c r="E140" s="11"/>
    </row>
    <row r="141" customFormat="false" ht="15.75" hidden="false" customHeight="true" outlineLevel="0" collapsed="false">
      <c r="E141" s="11"/>
    </row>
    <row r="142" customFormat="false" ht="15.75" hidden="false" customHeight="true" outlineLevel="0" collapsed="false">
      <c r="E142" s="11"/>
    </row>
    <row r="143" customFormat="false" ht="15.75" hidden="false" customHeight="true" outlineLevel="0" collapsed="false">
      <c r="E143" s="11"/>
    </row>
    <row r="144" customFormat="false" ht="15.75" hidden="false" customHeight="true" outlineLevel="0" collapsed="false">
      <c r="E144" s="11"/>
    </row>
    <row r="145" customFormat="false" ht="15.75" hidden="false" customHeight="true" outlineLevel="0" collapsed="false">
      <c r="E145" s="11"/>
    </row>
    <row r="146" customFormat="false" ht="15.75" hidden="false" customHeight="true" outlineLevel="0" collapsed="false">
      <c r="E146" s="11"/>
    </row>
    <row r="147" customFormat="false" ht="15.75" hidden="false" customHeight="true" outlineLevel="0" collapsed="false">
      <c r="E147" s="11"/>
    </row>
    <row r="148" customFormat="false" ht="15.75" hidden="false" customHeight="true" outlineLevel="0" collapsed="false">
      <c r="E148" s="11"/>
    </row>
    <row r="149" customFormat="false" ht="15.75" hidden="false" customHeight="true" outlineLevel="0" collapsed="false">
      <c r="E149" s="11"/>
    </row>
    <row r="150" customFormat="false" ht="15.75" hidden="false" customHeight="true" outlineLevel="0" collapsed="false">
      <c r="E150" s="11"/>
    </row>
    <row r="151" customFormat="false" ht="15.75" hidden="false" customHeight="true" outlineLevel="0" collapsed="false">
      <c r="E151" s="11"/>
    </row>
    <row r="152" customFormat="false" ht="15.75" hidden="false" customHeight="true" outlineLevel="0" collapsed="false">
      <c r="E152" s="11"/>
    </row>
    <row r="153" customFormat="false" ht="15.75" hidden="false" customHeight="true" outlineLevel="0" collapsed="false">
      <c r="E153" s="11"/>
    </row>
    <row r="154" customFormat="false" ht="15.75" hidden="false" customHeight="true" outlineLevel="0" collapsed="false">
      <c r="E154" s="11"/>
    </row>
    <row r="155" customFormat="false" ht="15.75" hidden="false" customHeight="true" outlineLevel="0" collapsed="false">
      <c r="E155" s="11"/>
    </row>
    <row r="156" customFormat="false" ht="15.75" hidden="false" customHeight="true" outlineLevel="0" collapsed="false">
      <c r="E156" s="11"/>
    </row>
    <row r="157" customFormat="false" ht="15.75" hidden="false" customHeight="true" outlineLevel="0" collapsed="false">
      <c r="E157" s="11"/>
    </row>
    <row r="158" customFormat="false" ht="15.75" hidden="false" customHeight="true" outlineLevel="0" collapsed="false">
      <c r="E158" s="11"/>
    </row>
    <row r="159" customFormat="false" ht="15.75" hidden="false" customHeight="true" outlineLevel="0" collapsed="false">
      <c r="E159" s="11"/>
    </row>
    <row r="160" customFormat="false" ht="15.75" hidden="false" customHeight="true" outlineLevel="0" collapsed="false">
      <c r="E160" s="11"/>
    </row>
    <row r="161" customFormat="false" ht="15.75" hidden="false" customHeight="true" outlineLevel="0" collapsed="false">
      <c r="E161" s="11"/>
    </row>
    <row r="162" customFormat="false" ht="15.75" hidden="false" customHeight="true" outlineLevel="0" collapsed="false">
      <c r="E162" s="11"/>
    </row>
    <row r="163" customFormat="false" ht="15.75" hidden="false" customHeight="true" outlineLevel="0" collapsed="false">
      <c r="E163" s="11"/>
    </row>
    <row r="164" customFormat="false" ht="15.75" hidden="false" customHeight="true" outlineLevel="0" collapsed="false">
      <c r="E164" s="11"/>
    </row>
    <row r="165" customFormat="false" ht="15.75" hidden="false" customHeight="true" outlineLevel="0" collapsed="false">
      <c r="E165" s="11"/>
    </row>
    <row r="166" customFormat="false" ht="15.75" hidden="false" customHeight="true" outlineLevel="0" collapsed="false">
      <c r="E166" s="11"/>
    </row>
    <row r="167" customFormat="false" ht="15.75" hidden="false" customHeight="true" outlineLevel="0" collapsed="false">
      <c r="E167" s="11"/>
    </row>
    <row r="168" customFormat="false" ht="15.75" hidden="false" customHeight="true" outlineLevel="0" collapsed="false">
      <c r="E168" s="11"/>
    </row>
    <row r="169" customFormat="false" ht="15.75" hidden="false" customHeight="true" outlineLevel="0" collapsed="false">
      <c r="E169" s="11"/>
    </row>
    <row r="170" customFormat="false" ht="15.75" hidden="false" customHeight="true" outlineLevel="0" collapsed="false">
      <c r="E170" s="11"/>
    </row>
    <row r="171" customFormat="false" ht="15.75" hidden="false" customHeight="true" outlineLevel="0" collapsed="false">
      <c r="E171" s="11"/>
    </row>
    <row r="172" customFormat="false" ht="15.75" hidden="false" customHeight="true" outlineLevel="0" collapsed="false">
      <c r="E172" s="11"/>
    </row>
    <row r="173" customFormat="false" ht="15.75" hidden="false" customHeight="true" outlineLevel="0" collapsed="false">
      <c r="E173" s="11"/>
    </row>
    <row r="174" customFormat="false" ht="15.75" hidden="false" customHeight="true" outlineLevel="0" collapsed="false">
      <c r="E174" s="11"/>
    </row>
    <row r="175" customFormat="false" ht="15.75" hidden="false" customHeight="true" outlineLevel="0" collapsed="false">
      <c r="E175" s="11"/>
    </row>
    <row r="176" customFormat="false" ht="15.75" hidden="false" customHeight="true" outlineLevel="0" collapsed="false">
      <c r="E176" s="11"/>
    </row>
    <row r="177" customFormat="false" ht="15.75" hidden="false" customHeight="true" outlineLevel="0" collapsed="false">
      <c r="E177" s="11"/>
    </row>
    <row r="178" customFormat="false" ht="15.75" hidden="false" customHeight="true" outlineLevel="0" collapsed="false">
      <c r="E178" s="11"/>
    </row>
    <row r="179" customFormat="false" ht="15.75" hidden="false" customHeight="true" outlineLevel="0" collapsed="false">
      <c r="E179" s="11"/>
    </row>
    <row r="180" customFormat="false" ht="15.75" hidden="false" customHeight="true" outlineLevel="0" collapsed="false">
      <c r="E180" s="11"/>
    </row>
    <row r="181" customFormat="false" ht="15.75" hidden="false" customHeight="true" outlineLevel="0" collapsed="false">
      <c r="E181" s="11"/>
    </row>
    <row r="182" customFormat="false" ht="15.75" hidden="false" customHeight="true" outlineLevel="0" collapsed="false">
      <c r="E182" s="11"/>
    </row>
    <row r="183" customFormat="false" ht="15.75" hidden="false" customHeight="true" outlineLevel="0" collapsed="false">
      <c r="E183" s="11"/>
    </row>
    <row r="184" customFormat="false" ht="15.75" hidden="false" customHeight="true" outlineLevel="0" collapsed="false">
      <c r="E184" s="11"/>
    </row>
    <row r="185" customFormat="false" ht="15.75" hidden="false" customHeight="true" outlineLevel="0" collapsed="false">
      <c r="E185" s="11"/>
    </row>
    <row r="186" customFormat="false" ht="15.75" hidden="false" customHeight="true" outlineLevel="0" collapsed="false">
      <c r="E186" s="11"/>
    </row>
    <row r="187" customFormat="false" ht="15.75" hidden="false" customHeight="true" outlineLevel="0" collapsed="false">
      <c r="E187" s="11"/>
    </row>
    <row r="188" customFormat="false" ht="15.75" hidden="false" customHeight="true" outlineLevel="0" collapsed="false">
      <c r="E188" s="11"/>
    </row>
    <row r="189" customFormat="false" ht="15.75" hidden="false" customHeight="true" outlineLevel="0" collapsed="false">
      <c r="E189" s="11"/>
    </row>
    <row r="190" customFormat="false" ht="15.75" hidden="false" customHeight="true" outlineLevel="0" collapsed="false">
      <c r="E190" s="11"/>
    </row>
    <row r="191" customFormat="false" ht="15.75" hidden="false" customHeight="true" outlineLevel="0" collapsed="false">
      <c r="E191" s="11"/>
    </row>
    <row r="192" customFormat="false" ht="15.75" hidden="false" customHeight="true" outlineLevel="0" collapsed="false">
      <c r="E192" s="11"/>
    </row>
    <row r="193" customFormat="false" ht="15.75" hidden="false" customHeight="true" outlineLevel="0" collapsed="false">
      <c r="E193" s="11"/>
    </row>
    <row r="194" customFormat="false" ht="15.75" hidden="false" customHeight="true" outlineLevel="0" collapsed="false">
      <c r="E194" s="11"/>
    </row>
    <row r="195" customFormat="false" ht="15.75" hidden="false" customHeight="true" outlineLevel="0" collapsed="false">
      <c r="E195" s="11"/>
    </row>
    <row r="196" customFormat="false" ht="15.75" hidden="false" customHeight="true" outlineLevel="0" collapsed="false">
      <c r="E196" s="11"/>
    </row>
    <row r="197" customFormat="false" ht="15.75" hidden="false" customHeight="true" outlineLevel="0" collapsed="false">
      <c r="E197" s="11"/>
    </row>
    <row r="198" customFormat="false" ht="15.75" hidden="false" customHeight="true" outlineLevel="0" collapsed="false">
      <c r="E198" s="11"/>
    </row>
    <row r="199" customFormat="false" ht="15.75" hidden="false" customHeight="true" outlineLevel="0" collapsed="false">
      <c r="E199" s="11"/>
    </row>
    <row r="200" customFormat="false" ht="15.75" hidden="false" customHeight="true" outlineLevel="0" collapsed="false">
      <c r="E200" s="11"/>
    </row>
    <row r="201" customFormat="false" ht="15.75" hidden="false" customHeight="true" outlineLevel="0" collapsed="false">
      <c r="E201" s="11"/>
    </row>
    <row r="202" customFormat="false" ht="15.75" hidden="false" customHeight="true" outlineLevel="0" collapsed="false">
      <c r="E202" s="11"/>
    </row>
    <row r="203" customFormat="false" ht="15.75" hidden="false" customHeight="true" outlineLevel="0" collapsed="false">
      <c r="E203" s="11"/>
    </row>
    <row r="204" customFormat="false" ht="15.75" hidden="false" customHeight="true" outlineLevel="0" collapsed="false">
      <c r="E204" s="11"/>
    </row>
    <row r="205" customFormat="false" ht="15.75" hidden="false" customHeight="true" outlineLevel="0" collapsed="false">
      <c r="E205" s="11"/>
    </row>
    <row r="206" customFormat="false" ht="15.75" hidden="false" customHeight="true" outlineLevel="0" collapsed="false">
      <c r="E206" s="11"/>
    </row>
    <row r="207" customFormat="false" ht="15.75" hidden="false" customHeight="true" outlineLevel="0" collapsed="false">
      <c r="E207" s="11"/>
    </row>
    <row r="208" customFormat="false" ht="15.75" hidden="false" customHeight="true" outlineLevel="0" collapsed="false">
      <c r="E208" s="11"/>
    </row>
    <row r="209" customFormat="false" ht="15.75" hidden="false" customHeight="true" outlineLevel="0" collapsed="false">
      <c r="E209" s="11"/>
    </row>
    <row r="210" customFormat="false" ht="15.75" hidden="false" customHeight="true" outlineLevel="0" collapsed="false">
      <c r="E210" s="11"/>
    </row>
    <row r="211" customFormat="false" ht="15.75" hidden="false" customHeight="true" outlineLevel="0" collapsed="false">
      <c r="E211" s="11"/>
    </row>
    <row r="212" customFormat="false" ht="15.75" hidden="false" customHeight="true" outlineLevel="0" collapsed="false">
      <c r="E212" s="11"/>
    </row>
    <row r="213" customFormat="false" ht="15.75" hidden="false" customHeight="true" outlineLevel="0" collapsed="false">
      <c r="E213" s="11"/>
    </row>
    <row r="214" customFormat="false" ht="15.75" hidden="false" customHeight="true" outlineLevel="0" collapsed="false">
      <c r="E214" s="11"/>
    </row>
    <row r="215" customFormat="false" ht="15.75" hidden="false" customHeight="true" outlineLevel="0" collapsed="false">
      <c r="E215" s="11"/>
    </row>
    <row r="216" customFormat="false" ht="15.75" hidden="false" customHeight="true" outlineLevel="0" collapsed="false">
      <c r="E216" s="11"/>
    </row>
    <row r="217" customFormat="false" ht="15.75" hidden="false" customHeight="true" outlineLevel="0" collapsed="false">
      <c r="E217" s="11"/>
    </row>
    <row r="218" customFormat="false" ht="15.75" hidden="false" customHeight="true" outlineLevel="0" collapsed="false">
      <c r="E218" s="11"/>
    </row>
    <row r="219" customFormat="false" ht="15.75" hidden="false" customHeight="true" outlineLevel="0" collapsed="false">
      <c r="E219" s="11"/>
    </row>
    <row r="220" customFormat="false" ht="15.75" hidden="false" customHeight="true" outlineLevel="0" collapsed="false">
      <c r="E220" s="11"/>
    </row>
    <row r="221" customFormat="false" ht="15.75" hidden="false" customHeight="true" outlineLevel="0" collapsed="false">
      <c r="E221" s="11"/>
    </row>
    <row r="222" customFormat="false" ht="15.75" hidden="false" customHeight="true" outlineLevel="0" collapsed="false">
      <c r="E222" s="11"/>
    </row>
    <row r="223" customFormat="false" ht="15.75" hidden="false" customHeight="true" outlineLevel="0" collapsed="false">
      <c r="E223" s="11"/>
    </row>
    <row r="224" customFormat="false" ht="15.75" hidden="false" customHeight="true" outlineLevel="0" collapsed="false">
      <c r="E224" s="11"/>
    </row>
    <row r="225" customFormat="false" ht="15.75" hidden="false" customHeight="true" outlineLevel="0" collapsed="false">
      <c r="E225" s="11"/>
    </row>
    <row r="226" customFormat="false" ht="15.75" hidden="false" customHeight="true" outlineLevel="0" collapsed="false">
      <c r="E226" s="11"/>
    </row>
    <row r="227" customFormat="false" ht="15.75" hidden="false" customHeight="true" outlineLevel="0" collapsed="false">
      <c r="E227" s="11"/>
    </row>
    <row r="228" customFormat="false" ht="15.75" hidden="false" customHeight="true" outlineLevel="0" collapsed="false">
      <c r="E228" s="11"/>
    </row>
    <row r="229" customFormat="false" ht="15.75" hidden="false" customHeight="true" outlineLevel="0" collapsed="false">
      <c r="E229" s="11"/>
    </row>
    <row r="230" customFormat="false" ht="15.75" hidden="false" customHeight="true" outlineLevel="0" collapsed="false">
      <c r="E230" s="11"/>
    </row>
    <row r="231" customFormat="false" ht="15.75" hidden="false" customHeight="true" outlineLevel="0" collapsed="false">
      <c r="E231" s="11"/>
    </row>
    <row r="232" customFormat="false" ht="15.75" hidden="false" customHeight="true" outlineLevel="0" collapsed="false">
      <c r="E232" s="11"/>
    </row>
    <row r="233" customFormat="false" ht="15.75" hidden="false" customHeight="true" outlineLevel="0" collapsed="false">
      <c r="E233" s="11"/>
    </row>
    <row r="234" customFormat="false" ht="15.75" hidden="false" customHeight="true" outlineLevel="0" collapsed="false">
      <c r="E234" s="11"/>
    </row>
    <row r="235" customFormat="false" ht="15.75" hidden="false" customHeight="true" outlineLevel="0" collapsed="false">
      <c r="E235" s="11"/>
    </row>
    <row r="236" customFormat="false" ht="15.75" hidden="false" customHeight="true" outlineLevel="0" collapsed="false">
      <c r="E236" s="11"/>
    </row>
    <row r="237" customFormat="false" ht="15.75" hidden="false" customHeight="true" outlineLevel="0" collapsed="false">
      <c r="E237" s="11"/>
    </row>
    <row r="238" customFormat="false" ht="15.75" hidden="false" customHeight="true" outlineLevel="0" collapsed="false">
      <c r="E238" s="11"/>
    </row>
    <row r="239" customFormat="false" ht="15.75" hidden="false" customHeight="true" outlineLevel="0" collapsed="false">
      <c r="E239" s="11"/>
    </row>
    <row r="240" customFormat="false" ht="15.75" hidden="false" customHeight="true" outlineLevel="0" collapsed="false">
      <c r="E240" s="11"/>
    </row>
    <row r="241" customFormat="false" ht="15.75" hidden="false" customHeight="true" outlineLevel="0" collapsed="false">
      <c r="E241" s="11"/>
    </row>
    <row r="242" customFormat="false" ht="15.75" hidden="false" customHeight="true" outlineLevel="0" collapsed="false">
      <c r="E242" s="11"/>
    </row>
    <row r="243" customFormat="false" ht="15.75" hidden="false" customHeight="true" outlineLevel="0" collapsed="false">
      <c r="E243" s="11"/>
    </row>
    <row r="244" customFormat="false" ht="15.75" hidden="false" customHeight="true" outlineLevel="0" collapsed="false">
      <c r="E244" s="11"/>
    </row>
    <row r="245" customFormat="false" ht="15.75" hidden="false" customHeight="true" outlineLevel="0" collapsed="false">
      <c r="E245" s="11"/>
    </row>
    <row r="246" customFormat="false" ht="15.75" hidden="false" customHeight="true" outlineLevel="0" collapsed="false">
      <c r="E246" s="11"/>
    </row>
    <row r="247" customFormat="false" ht="15.75" hidden="false" customHeight="true" outlineLevel="0" collapsed="false">
      <c r="E247" s="11"/>
    </row>
    <row r="248" customFormat="false" ht="15.75" hidden="false" customHeight="true" outlineLevel="0" collapsed="false">
      <c r="E248" s="11"/>
    </row>
    <row r="249" customFormat="false" ht="15.75" hidden="false" customHeight="true" outlineLevel="0" collapsed="false">
      <c r="E249" s="11"/>
    </row>
    <row r="250" customFormat="false" ht="15.75" hidden="false" customHeight="true" outlineLevel="0" collapsed="false">
      <c r="E250" s="11"/>
    </row>
    <row r="251" customFormat="false" ht="15.75" hidden="false" customHeight="true" outlineLevel="0" collapsed="false">
      <c r="E251" s="11"/>
    </row>
    <row r="252" customFormat="false" ht="15.75" hidden="false" customHeight="true" outlineLevel="0" collapsed="false">
      <c r="E252" s="11"/>
    </row>
    <row r="253" customFormat="false" ht="15.75" hidden="false" customHeight="true" outlineLevel="0" collapsed="false">
      <c r="E253" s="11"/>
    </row>
    <row r="254" customFormat="false" ht="15.75" hidden="false" customHeight="true" outlineLevel="0" collapsed="false">
      <c r="E254" s="11"/>
    </row>
    <row r="255" customFormat="false" ht="15.75" hidden="false" customHeight="true" outlineLevel="0" collapsed="false">
      <c r="E255" s="11"/>
    </row>
    <row r="256" customFormat="false" ht="15.75" hidden="false" customHeight="true" outlineLevel="0" collapsed="false">
      <c r="E256" s="11"/>
    </row>
    <row r="257" customFormat="false" ht="15.75" hidden="false" customHeight="true" outlineLevel="0" collapsed="false">
      <c r="E257" s="11"/>
    </row>
    <row r="258" customFormat="false" ht="15.75" hidden="false" customHeight="true" outlineLevel="0" collapsed="false">
      <c r="E258" s="11"/>
    </row>
    <row r="259" customFormat="false" ht="15.75" hidden="false" customHeight="true" outlineLevel="0" collapsed="false">
      <c r="E259" s="11"/>
    </row>
    <row r="260" customFormat="false" ht="15.75" hidden="false" customHeight="true" outlineLevel="0" collapsed="false">
      <c r="E260" s="11"/>
    </row>
    <row r="261" customFormat="false" ht="15.75" hidden="false" customHeight="true" outlineLevel="0" collapsed="false">
      <c r="E261" s="11"/>
    </row>
    <row r="262" customFormat="false" ht="15.75" hidden="false" customHeight="true" outlineLevel="0" collapsed="false">
      <c r="E262" s="11"/>
    </row>
    <row r="263" customFormat="false" ht="15.75" hidden="false" customHeight="true" outlineLevel="0" collapsed="false">
      <c r="E263" s="11"/>
    </row>
    <row r="264" customFormat="false" ht="15.75" hidden="false" customHeight="true" outlineLevel="0" collapsed="false">
      <c r="E264" s="11"/>
    </row>
    <row r="265" customFormat="false" ht="15.75" hidden="false" customHeight="true" outlineLevel="0" collapsed="false">
      <c r="E265" s="11"/>
    </row>
    <row r="266" customFormat="false" ht="15.75" hidden="false" customHeight="true" outlineLevel="0" collapsed="false">
      <c r="E266" s="11"/>
    </row>
    <row r="267" customFormat="false" ht="15.75" hidden="false" customHeight="true" outlineLevel="0" collapsed="false">
      <c r="E267" s="11"/>
    </row>
    <row r="268" customFormat="false" ht="15.75" hidden="false" customHeight="true" outlineLevel="0" collapsed="false">
      <c r="E268" s="11"/>
    </row>
    <row r="269" customFormat="false" ht="15.75" hidden="false" customHeight="true" outlineLevel="0" collapsed="false">
      <c r="E269" s="11"/>
    </row>
    <row r="270" customFormat="false" ht="15.75" hidden="false" customHeight="true" outlineLevel="0" collapsed="false">
      <c r="E270" s="11"/>
    </row>
    <row r="271" customFormat="false" ht="15.75" hidden="false" customHeight="true" outlineLevel="0" collapsed="false">
      <c r="E271" s="11"/>
    </row>
    <row r="272" customFormat="false" ht="15.75" hidden="false" customHeight="true" outlineLevel="0" collapsed="false">
      <c r="E272" s="11"/>
    </row>
    <row r="273" customFormat="false" ht="15.75" hidden="false" customHeight="true" outlineLevel="0" collapsed="false">
      <c r="E273" s="11"/>
    </row>
    <row r="274" customFormat="false" ht="15.75" hidden="false" customHeight="true" outlineLevel="0" collapsed="false">
      <c r="E274" s="11"/>
    </row>
    <row r="275" customFormat="false" ht="15.75" hidden="false" customHeight="true" outlineLevel="0" collapsed="false">
      <c r="E275" s="11"/>
    </row>
    <row r="276" customFormat="false" ht="15.75" hidden="false" customHeight="true" outlineLevel="0" collapsed="false">
      <c r="E276" s="11"/>
    </row>
    <row r="277" customFormat="false" ht="15.75" hidden="false" customHeight="true" outlineLevel="0" collapsed="false">
      <c r="E277" s="11"/>
    </row>
    <row r="278" customFormat="false" ht="15.75" hidden="false" customHeight="true" outlineLevel="0" collapsed="false">
      <c r="E278" s="11"/>
    </row>
    <row r="279" customFormat="false" ht="15.75" hidden="false" customHeight="true" outlineLevel="0" collapsed="false">
      <c r="E279" s="11"/>
    </row>
    <row r="280" customFormat="false" ht="15.75" hidden="false" customHeight="true" outlineLevel="0" collapsed="false">
      <c r="E280" s="11"/>
    </row>
    <row r="281" customFormat="false" ht="15.75" hidden="false" customHeight="true" outlineLevel="0" collapsed="false">
      <c r="E281" s="11"/>
    </row>
    <row r="282" customFormat="false" ht="15.75" hidden="false" customHeight="true" outlineLevel="0" collapsed="false">
      <c r="E282" s="11"/>
    </row>
    <row r="283" customFormat="false" ht="15.75" hidden="false" customHeight="true" outlineLevel="0" collapsed="false">
      <c r="E283" s="11"/>
    </row>
    <row r="284" customFormat="false" ht="15.75" hidden="false" customHeight="true" outlineLevel="0" collapsed="false">
      <c r="E284" s="11"/>
    </row>
    <row r="285" customFormat="false" ht="15.75" hidden="false" customHeight="true" outlineLevel="0" collapsed="false">
      <c r="E285" s="11"/>
    </row>
    <row r="286" customFormat="false" ht="15.75" hidden="false" customHeight="true" outlineLevel="0" collapsed="false">
      <c r="E286" s="11"/>
    </row>
    <row r="287" customFormat="false" ht="15.75" hidden="false" customHeight="true" outlineLevel="0" collapsed="false">
      <c r="E287" s="11"/>
    </row>
    <row r="288" customFormat="false" ht="15.75" hidden="false" customHeight="true" outlineLevel="0" collapsed="false">
      <c r="E288" s="11"/>
    </row>
    <row r="289" customFormat="false" ht="15.75" hidden="false" customHeight="true" outlineLevel="0" collapsed="false">
      <c r="E289" s="11"/>
    </row>
    <row r="290" customFormat="false" ht="15.75" hidden="false" customHeight="true" outlineLevel="0" collapsed="false">
      <c r="E290" s="11"/>
    </row>
    <row r="291" customFormat="false" ht="15.75" hidden="false" customHeight="true" outlineLevel="0" collapsed="false">
      <c r="E291" s="11"/>
    </row>
    <row r="292" customFormat="false" ht="15.75" hidden="false" customHeight="true" outlineLevel="0" collapsed="false">
      <c r="E292" s="11"/>
    </row>
    <row r="293" customFormat="false" ht="15.75" hidden="false" customHeight="true" outlineLevel="0" collapsed="false">
      <c r="E293" s="11"/>
    </row>
    <row r="294" customFormat="false" ht="15.75" hidden="false" customHeight="true" outlineLevel="0" collapsed="false">
      <c r="E294" s="11"/>
    </row>
    <row r="295" customFormat="false" ht="15.75" hidden="false" customHeight="true" outlineLevel="0" collapsed="false">
      <c r="E295" s="11"/>
    </row>
    <row r="296" customFormat="false" ht="15.75" hidden="false" customHeight="true" outlineLevel="0" collapsed="false">
      <c r="E296" s="11"/>
    </row>
    <row r="297" customFormat="false" ht="15.75" hidden="false" customHeight="true" outlineLevel="0" collapsed="false">
      <c r="E297" s="11"/>
    </row>
    <row r="298" customFormat="false" ht="15.75" hidden="false" customHeight="true" outlineLevel="0" collapsed="false">
      <c r="E298" s="11"/>
    </row>
    <row r="299" customFormat="false" ht="15.75" hidden="false" customHeight="true" outlineLevel="0" collapsed="false">
      <c r="E299" s="11"/>
    </row>
    <row r="300" customFormat="false" ht="15.75" hidden="false" customHeight="true" outlineLevel="0" collapsed="false">
      <c r="E300" s="11"/>
    </row>
    <row r="301" customFormat="false" ht="15.75" hidden="false" customHeight="true" outlineLevel="0" collapsed="false">
      <c r="E301" s="11"/>
    </row>
    <row r="302" customFormat="false" ht="15.75" hidden="false" customHeight="true" outlineLevel="0" collapsed="false">
      <c r="E302" s="11"/>
    </row>
    <row r="303" customFormat="false" ht="15.75" hidden="false" customHeight="true" outlineLevel="0" collapsed="false">
      <c r="E303" s="11"/>
    </row>
    <row r="304" customFormat="false" ht="15.75" hidden="false" customHeight="true" outlineLevel="0" collapsed="false">
      <c r="E304" s="11"/>
    </row>
    <row r="305" customFormat="false" ht="15.75" hidden="false" customHeight="true" outlineLevel="0" collapsed="false">
      <c r="E305" s="11"/>
    </row>
    <row r="306" customFormat="false" ht="15.75" hidden="false" customHeight="true" outlineLevel="0" collapsed="false">
      <c r="E306" s="11"/>
    </row>
    <row r="307" customFormat="false" ht="15.75" hidden="false" customHeight="true" outlineLevel="0" collapsed="false">
      <c r="E307" s="11"/>
    </row>
    <row r="308" customFormat="false" ht="15.75" hidden="false" customHeight="true" outlineLevel="0" collapsed="false">
      <c r="E308" s="11"/>
    </row>
    <row r="309" customFormat="false" ht="15.75" hidden="false" customHeight="true" outlineLevel="0" collapsed="false">
      <c r="E309" s="11"/>
    </row>
    <row r="310" customFormat="false" ht="15.75" hidden="false" customHeight="true" outlineLevel="0" collapsed="false">
      <c r="E310" s="11"/>
    </row>
    <row r="311" customFormat="false" ht="15.75" hidden="false" customHeight="true" outlineLevel="0" collapsed="false">
      <c r="E311" s="11"/>
    </row>
    <row r="312" customFormat="false" ht="15.75" hidden="false" customHeight="true" outlineLevel="0" collapsed="false">
      <c r="E312" s="11"/>
    </row>
    <row r="313" customFormat="false" ht="15.75" hidden="false" customHeight="true" outlineLevel="0" collapsed="false">
      <c r="E313" s="11"/>
    </row>
    <row r="314" customFormat="false" ht="15.75" hidden="false" customHeight="true" outlineLevel="0" collapsed="false">
      <c r="E314" s="11"/>
    </row>
    <row r="315" customFormat="false" ht="15.75" hidden="false" customHeight="true" outlineLevel="0" collapsed="false">
      <c r="E315" s="11"/>
    </row>
    <row r="316" customFormat="false" ht="15.75" hidden="false" customHeight="true" outlineLevel="0" collapsed="false">
      <c r="E316" s="11"/>
    </row>
    <row r="317" customFormat="false" ht="15.75" hidden="false" customHeight="true" outlineLevel="0" collapsed="false">
      <c r="E317" s="11"/>
    </row>
    <row r="318" customFormat="false" ht="15.75" hidden="false" customHeight="true" outlineLevel="0" collapsed="false">
      <c r="E318" s="11"/>
    </row>
    <row r="319" customFormat="false" ht="15.75" hidden="false" customHeight="true" outlineLevel="0" collapsed="false">
      <c r="E319" s="11"/>
    </row>
    <row r="320" customFormat="false" ht="15.75" hidden="false" customHeight="true" outlineLevel="0" collapsed="false">
      <c r="E320" s="11"/>
    </row>
    <row r="321" customFormat="false" ht="15.75" hidden="false" customHeight="true" outlineLevel="0" collapsed="false">
      <c r="E321" s="11"/>
    </row>
    <row r="322" customFormat="false" ht="15.75" hidden="false" customHeight="true" outlineLevel="0" collapsed="false">
      <c r="E322" s="11"/>
    </row>
    <row r="323" customFormat="false" ht="15.75" hidden="false" customHeight="true" outlineLevel="0" collapsed="false">
      <c r="E323" s="11"/>
    </row>
    <row r="324" customFormat="false" ht="15.75" hidden="false" customHeight="true" outlineLevel="0" collapsed="false">
      <c r="E324" s="11"/>
    </row>
    <row r="325" customFormat="false" ht="15.75" hidden="false" customHeight="true" outlineLevel="0" collapsed="false">
      <c r="E325" s="11"/>
    </row>
    <row r="326" customFormat="false" ht="15.75" hidden="false" customHeight="true" outlineLevel="0" collapsed="false">
      <c r="E326" s="11"/>
    </row>
    <row r="327" customFormat="false" ht="15.75" hidden="false" customHeight="true" outlineLevel="0" collapsed="false">
      <c r="E327" s="11"/>
    </row>
    <row r="328" customFormat="false" ht="15.75" hidden="false" customHeight="true" outlineLevel="0" collapsed="false">
      <c r="E328" s="11"/>
    </row>
    <row r="329" customFormat="false" ht="15.75" hidden="false" customHeight="true" outlineLevel="0" collapsed="false">
      <c r="E329" s="11"/>
    </row>
    <row r="330" customFormat="false" ht="15.75" hidden="false" customHeight="true" outlineLevel="0" collapsed="false">
      <c r="E330" s="11"/>
    </row>
    <row r="331" customFormat="false" ht="15.75" hidden="false" customHeight="true" outlineLevel="0" collapsed="false">
      <c r="E331" s="11"/>
    </row>
    <row r="332" customFormat="false" ht="15.75" hidden="false" customHeight="true" outlineLevel="0" collapsed="false">
      <c r="E332" s="11"/>
    </row>
    <row r="333" customFormat="false" ht="15.75" hidden="false" customHeight="true" outlineLevel="0" collapsed="false">
      <c r="E333" s="11"/>
    </row>
    <row r="334" customFormat="false" ht="15.75" hidden="false" customHeight="true" outlineLevel="0" collapsed="false">
      <c r="E334" s="11"/>
    </row>
    <row r="335" customFormat="false" ht="15.75" hidden="false" customHeight="true" outlineLevel="0" collapsed="false">
      <c r="E335" s="11"/>
    </row>
    <row r="336" customFormat="false" ht="15.75" hidden="false" customHeight="true" outlineLevel="0" collapsed="false">
      <c r="E336" s="11"/>
    </row>
    <row r="337" customFormat="false" ht="15.75" hidden="false" customHeight="true" outlineLevel="0" collapsed="false">
      <c r="E337" s="11"/>
    </row>
    <row r="338" customFormat="false" ht="15.75" hidden="false" customHeight="true" outlineLevel="0" collapsed="false">
      <c r="E338" s="11"/>
    </row>
    <row r="339" customFormat="false" ht="15.75" hidden="false" customHeight="true" outlineLevel="0" collapsed="false">
      <c r="E339" s="11"/>
    </row>
    <row r="340" customFormat="false" ht="15.75" hidden="false" customHeight="true" outlineLevel="0" collapsed="false">
      <c r="E340" s="11"/>
    </row>
    <row r="341" customFormat="false" ht="15.75" hidden="false" customHeight="true" outlineLevel="0" collapsed="false">
      <c r="E341" s="11"/>
    </row>
    <row r="342" customFormat="false" ht="15.75" hidden="false" customHeight="true" outlineLevel="0" collapsed="false">
      <c r="E342" s="11"/>
    </row>
    <row r="343" customFormat="false" ht="15.75" hidden="false" customHeight="true" outlineLevel="0" collapsed="false">
      <c r="E343" s="11"/>
    </row>
    <row r="344" customFormat="false" ht="15.75" hidden="false" customHeight="true" outlineLevel="0" collapsed="false">
      <c r="E344" s="11"/>
    </row>
    <row r="345" customFormat="false" ht="15.75" hidden="false" customHeight="true" outlineLevel="0" collapsed="false">
      <c r="E345" s="11"/>
    </row>
    <row r="346" customFormat="false" ht="15.75" hidden="false" customHeight="true" outlineLevel="0" collapsed="false">
      <c r="E346" s="11"/>
    </row>
    <row r="347" customFormat="false" ht="15.75" hidden="false" customHeight="true" outlineLevel="0" collapsed="false">
      <c r="E347" s="11"/>
    </row>
    <row r="348" customFormat="false" ht="15.75" hidden="false" customHeight="true" outlineLevel="0" collapsed="false">
      <c r="E348" s="11"/>
    </row>
    <row r="349" customFormat="false" ht="15.75" hidden="false" customHeight="true" outlineLevel="0" collapsed="false">
      <c r="E349" s="11"/>
    </row>
    <row r="350" customFormat="false" ht="15.75" hidden="false" customHeight="true" outlineLevel="0" collapsed="false">
      <c r="E350" s="11"/>
    </row>
    <row r="351" customFormat="false" ht="15.75" hidden="false" customHeight="true" outlineLevel="0" collapsed="false">
      <c r="E351" s="11"/>
    </row>
    <row r="352" customFormat="false" ht="15.75" hidden="false" customHeight="true" outlineLevel="0" collapsed="false">
      <c r="E352" s="11"/>
    </row>
    <row r="353" customFormat="false" ht="15.75" hidden="false" customHeight="true" outlineLevel="0" collapsed="false">
      <c r="E353" s="11"/>
    </row>
    <row r="354" customFormat="false" ht="15.75" hidden="false" customHeight="true" outlineLevel="0" collapsed="false">
      <c r="E354" s="11"/>
    </row>
    <row r="355" customFormat="false" ht="15.75" hidden="false" customHeight="true" outlineLevel="0" collapsed="false">
      <c r="E355" s="11"/>
    </row>
    <row r="356" customFormat="false" ht="15.75" hidden="false" customHeight="true" outlineLevel="0" collapsed="false">
      <c r="E356" s="11"/>
    </row>
    <row r="357" customFormat="false" ht="15.75" hidden="false" customHeight="true" outlineLevel="0" collapsed="false">
      <c r="E357" s="11"/>
    </row>
    <row r="358" customFormat="false" ht="15.75" hidden="false" customHeight="true" outlineLevel="0" collapsed="false">
      <c r="E358" s="11"/>
    </row>
    <row r="359" customFormat="false" ht="15.75" hidden="false" customHeight="true" outlineLevel="0" collapsed="false">
      <c r="E359" s="11"/>
    </row>
    <row r="360" customFormat="false" ht="15.75" hidden="false" customHeight="true" outlineLevel="0" collapsed="false">
      <c r="E360" s="11"/>
    </row>
    <row r="361" customFormat="false" ht="15.75" hidden="false" customHeight="true" outlineLevel="0" collapsed="false">
      <c r="E361" s="11"/>
    </row>
    <row r="362" customFormat="false" ht="15.75" hidden="false" customHeight="true" outlineLevel="0" collapsed="false">
      <c r="E362" s="11"/>
    </row>
    <row r="363" customFormat="false" ht="15.75" hidden="false" customHeight="true" outlineLevel="0" collapsed="false">
      <c r="E363" s="11"/>
    </row>
    <row r="364" customFormat="false" ht="15.75" hidden="false" customHeight="true" outlineLevel="0" collapsed="false">
      <c r="E364" s="11"/>
    </row>
    <row r="365" customFormat="false" ht="15.75" hidden="false" customHeight="true" outlineLevel="0" collapsed="false">
      <c r="E365" s="11"/>
    </row>
    <row r="366" customFormat="false" ht="15.75" hidden="false" customHeight="true" outlineLevel="0" collapsed="false">
      <c r="E366" s="11"/>
    </row>
    <row r="367" customFormat="false" ht="15.75" hidden="false" customHeight="true" outlineLevel="0" collapsed="false">
      <c r="E367" s="11"/>
    </row>
    <row r="368" customFormat="false" ht="15.75" hidden="false" customHeight="true" outlineLevel="0" collapsed="false">
      <c r="E368" s="11"/>
    </row>
    <row r="369" customFormat="false" ht="15.75" hidden="false" customHeight="true" outlineLevel="0" collapsed="false">
      <c r="E369" s="11"/>
    </row>
    <row r="370" customFormat="false" ht="15.75" hidden="false" customHeight="true" outlineLevel="0" collapsed="false">
      <c r="E370" s="11"/>
    </row>
    <row r="371" customFormat="false" ht="15.75" hidden="false" customHeight="true" outlineLevel="0" collapsed="false">
      <c r="E371" s="11"/>
    </row>
    <row r="372" customFormat="false" ht="15.75" hidden="false" customHeight="true" outlineLevel="0" collapsed="false">
      <c r="E372" s="11"/>
    </row>
    <row r="373" customFormat="false" ht="15.75" hidden="false" customHeight="true" outlineLevel="0" collapsed="false">
      <c r="E373" s="11"/>
    </row>
    <row r="374" customFormat="false" ht="15.75" hidden="false" customHeight="true" outlineLevel="0" collapsed="false">
      <c r="E374" s="11"/>
    </row>
    <row r="375" customFormat="false" ht="15.75" hidden="false" customHeight="true" outlineLevel="0" collapsed="false">
      <c r="E375" s="11"/>
    </row>
    <row r="376" customFormat="false" ht="15.75" hidden="false" customHeight="true" outlineLevel="0" collapsed="false">
      <c r="E376" s="11"/>
    </row>
    <row r="377" customFormat="false" ht="15.75" hidden="false" customHeight="true" outlineLevel="0" collapsed="false">
      <c r="E377" s="11"/>
    </row>
    <row r="378" customFormat="false" ht="15.75" hidden="false" customHeight="true" outlineLevel="0" collapsed="false">
      <c r="E378" s="11"/>
    </row>
    <row r="379" customFormat="false" ht="15.75" hidden="false" customHeight="true" outlineLevel="0" collapsed="false">
      <c r="E379" s="11"/>
    </row>
    <row r="380" customFormat="false" ht="15.75" hidden="false" customHeight="true" outlineLevel="0" collapsed="false">
      <c r="E380" s="11"/>
    </row>
    <row r="381" customFormat="false" ht="15.75" hidden="false" customHeight="true" outlineLevel="0" collapsed="false">
      <c r="E381" s="11"/>
    </row>
    <row r="382" customFormat="false" ht="15.75" hidden="false" customHeight="true" outlineLevel="0" collapsed="false">
      <c r="E382" s="11"/>
    </row>
    <row r="383" customFormat="false" ht="15.75" hidden="false" customHeight="true" outlineLevel="0" collapsed="false">
      <c r="E383" s="11"/>
    </row>
    <row r="384" customFormat="false" ht="15.75" hidden="false" customHeight="true" outlineLevel="0" collapsed="false">
      <c r="E384" s="11"/>
    </row>
    <row r="385" customFormat="false" ht="15.75" hidden="false" customHeight="true" outlineLevel="0" collapsed="false">
      <c r="E385" s="11"/>
    </row>
    <row r="386" customFormat="false" ht="15.75" hidden="false" customHeight="true" outlineLevel="0" collapsed="false">
      <c r="E386" s="11"/>
    </row>
    <row r="387" customFormat="false" ht="15.75" hidden="false" customHeight="true" outlineLevel="0" collapsed="false">
      <c r="E387" s="11"/>
    </row>
    <row r="388" customFormat="false" ht="15.75" hidden="false" customHeight="true" outlineLevel="0" collapsed="false">
      <c r="E388" s="11"/>
    </row>
    <row r="389" customFormat="false" ht="15.75" hidden="false" customHeight="true" outlineLevel="0" collapsed="false">
      <c r="E389" s="11"/>
    </row>
    <row r="390" customFormat="false" ht="15.75" hidden="false" customHeight="true" outlineLevel="0" collapsed="false">
      <c r="E390" s="11"/>
    </row>
    <row r="391" customFormat="false" ht="15.75" hidden="false" customHeight="true" outlineLevel="0" collapsed="false">
      <c r="E391" s="11"/>
    </row>
    <row r="392" customFormat="false" ht="15.75" hidden="false" customHeight="true" outlineLevel="0" collapsed="false">
      <c r="E392" s="11"/>
    </row>
    <row r="393" customFormat="false" ht="15.75" hidden="false" customHeight="true" outlineLevel="0" collapsed="false">
      <c r="E393" s="11"/>
    </row>
    <row r="394" customFormat="false" ht="15.75" hidden="false" customHeight="true" outlineLevel="0" collapsed="false">
      <c r="E394" s="11"/>
    </row>
    <row r="395" customFormat="false" ht="15.75" hidden="false" customHeight="true" outlineLevel="0" collapsed="false">
      <c r="E395" s="11"/>
    </row>
    <row r="396" customFormat="false" ht="15.75" hidden="false" customHeight="true" outlineLevel="0" collapsed="false">
      <c r="E396" s="11"/>
    </row>
    <row r="397" customFormat="false" ht="15.75" hidden="false" customHeight="true" outlineLevel="0" collapsed="false">
      <c r="E397" s="11"/>
    </row>
    <row r="398" customFormat="false" ht="15.75" hidden="false" customHeight="true" outlineLevel="0" collapsed="false">
      <c r="E398" s="11"/>
    </row>
    <row r="399" customFormat="false" ht="15.75" hidden="false" customHeight="true" outlineLevel="0" collapsed="false">
      <c r="E399" s="11"/>
    </row>
    <row r="400" customFormat="false" ht="15.75" hidden="false" customHeight="true" outlineLevel="0" collapsed="false">
      <c r="E400" s="11"/>
    </row>
    <row r="401" customFormat="false" ht="15.75" hidden="false" customHeight="true" outlineLevel="0" collapsed="false">
      <c r="E401" s="11"/>
    </row>
    <row r="402" customFormat="false" ht="15.75" hidden="false" customHeight="true" outlineLevel="0" collapsed="false">
      <c r="E402" s="11"/>
    </row>
    <row r="403" customFormat="false" ht="15.75" hidden="false" customHeight="true" outlineLevel="0" collapsed="false">
      <c r="E403" s="11"/>
    </row>
    <row r="404" customFormat="false" ht="15.75" hidden="false" customHeight="true" outlineLevel="0" collapsed="false">
      <c r="E404" s="11"/>
    </row>
    <row r="405" customFormat="false" ht="15.75" hidden="false" customHeight="true" outlineLevel="0" collapsed="false">
      <c r="E405" s="11"/>
    </row>
    <row r="406" customFormat="false" ht="15.75" hidden="false" customHeight="true" outlineLevel="0" collapsed="false">
      <c r="E406" s="11"/>
    </row>
    <row r="407" customFormat="false" ht="15.75" hidden="false" customHeight="true" outlineLevel="0" collapsed="false">
      <c r="E407" s="11"/>
    </row>
    <row r="408" customFormat="false" ht="15.75" hidden="false" customHeight="true" outlineLevel="0" collapsed="false">
      <c r="E408" s="11"/>
    </row>
    <row r="409" customFormat="false" ht="15.75" hidden="false" customHeight="true" outlineLevel="0" collapsed="false">
      <c r="E409" s="11"/>
    </row>
    <row r="410" customFormat="false" ht="15.75" hidden="false" customHeight="true" outlineLevel="0" collapsed="false">
      <c r="E410" s="11"/>
    </row>
    <row r="411" customFormat="false" ht="15.75" hidden="false" customHeight="true" outlineLevel="0" collapsed="false">
      <c r="E411" s="11"/>
    </row>
    <row r="412" customFormat="false" ht="15.75" hidden="false" customHeight="true" outlineLevel="0" collapsed="false">
      <c r="E412" s="11"/>
    </row>
    <row r="413" customFormat="false" ht="15.75" hidden="false" customHeight="true" outlineLevel="0" collapsed="false">
      <c r="E413" s="11"/>
    </row>
    <row r="414" customFormat="false" ht="15.75" hidden="false" customHeight="true" outlineLevel="0" collapsed="false">
      <c r="E414" s="11"/>
    </row>
    <row r="415" customFormat="false" ht="15.75" hidden="false" customHeight="true" outlineLevel="0" collapsed="false">
      <c r="E415" s="11"/>
    </row>
    <row r="416" customFormat="false" ht="15.75" hidden="false" customHeight="true" outlineLevel="0" collapsed="false">
      <c r="E416" s="11"/>
    </row>
    <row r="417" customFormat="false" ht="15.75" hidden="false" customHeight="true" outlineLevel="0" collapsed="false">
      <c r="E417" s="11"/>
    </row>
    <row r="418" customFormat="false" ht="15.75" hidden="false" customHeight="true" outlineLevel="0" collapsed="false">
      <c r="E418" s="11"/>
    </row>
    <row r="419" customFormat="false" ht="15.75" hidden="false" customHeight="true" outlineLevel="0" collapsed="false">
      <c r="E419" s="11"/>
    </row>
    <row r="420" customFormat="false" ht="15.75" hidden="false" customHeight="true" outlineLevel="0" collapsed="false">
      <c r="E420" s="11"/>
    </row>
    <row r="421" customFormat="false" ht="15.75" hidden="false" customHeight="true" outlineLevel="0" collapsed="false">
      <c r="E421" s="11"/>
    </row>
    <row r="422" customFormat="false" ht="15.75" hidden="false" customHeight="true" outlineLevel="0" collapsed="false">
      <c r="E422" s="11"/>
    </row>
    <row r="423" customFormat="false" ht="15.75" hidden="false" customHeight="true" outlineLevel="0" collapsed="false">
      <c r="E423" s="11"/>
    </row>
    <row r="424" customFormat="false" ht="15.75" hidden="false" customHeight="true" outlineLevel="0" collapsed="false">
      <c r="E424" s="11"/>
    </row>
    <row r="425" customFormat="false" ht="15.75" hidden="false" customHeight="true" outlineLevel="0" collapsed="false">
      <c r="E425" s="11"/>
    </row>
    <row r="426" customFormat="false" ht="15.75" hidden="false" customHeight="true" outlineLevel="0" collapsed="false">
      <c r="E426" s="11"/>
    </row>
    <row r="427" customFormat="false" ht="15.75" hidden="false" customHeight="true" outlineLevel="0" collapsed="false">
      <c r="E427" s="11"/>
    </row>
    <row r="428" customFormat="false" ht="15.75" hidden="false" customHeight="true" outlineLevel="0" collapsed="false">
      <c r="E428" s="11"/>
    </row>
    <row r="429" customFormat="false" ht="15.75" hidden="false" customHeight="true" outlineLevel="0" collapsed="false">
      <c r="E429" s="11"/>
    </row>
    <row r="430" customFormat="false" ht="15.75" hidden="false" customHeight="true" outlineLevel="0" collapsed="false">
      <c r="E430" s="11"/>
    </row>
    <row r="431" customFormat="false" ht="15.75" hidden="false" customHeight="true" outlineLevel="0" collapsed="false">
      <c r="E431" s="11"/>
    </row>
    <row r="432" customFormat="false" ht="15.75" hidden="false" customHeight="true" outlineLevel="0" collapsed="false">
      <c r="E432" s="11"/>
    </row>
    <row r="433" customFormat="false" ht="15.75" hidden="false" customHeight="true" outlineLevel="0" collapsed="false">
      <c r="E433" s="11"/>
    </row>
    <row r="434" customFormat="false" ht="15.75" hidden="false" customHeight="true" outlineLevel="0" collapsed="false">
      <c r="E434" s="11"/>
    </row>
    <row r="435" customFormat="false" ht="15.75" hidden="false" customHeight="true" outlineLevel="0" collapsed="false">
      <c r="E435" s="11"/>
    </row>
    <row r="436" customFormat="false" ht="15.75" hidden="false" customHeight="true" outlineLevel="0" collapsed="false">
      <c r="E436" s="11"/>
    </row>
    <row r="437" customFormat="false" ht="15.75" hidden="false" customHeight="true" outlineLevel="0" collapsed="false">
      <c r="E437" s="11"/>
    </row>
    <row r="438" customFormat="false" ht="15.75" hidden="false" customHeight="true" outlineLevel="0" collapsed="false">
      <c r="E438" s="11"/>
    </row>
    <row r="439" customFormat="false" ht="15.75" hidden="false" customHeight="true" outlineLevel="0" collapsed="false">
      <c r="E439" s="11"/>
    </row>
    <row r="440" customFormat="false" ht="15.75" hidden="false" customHeight="true" outlineLevel="0" collapsed="false">
      <c r="E440" s="11"/>
    </row>
    <row r="441" customFormat="false" ht="15.75" hidden="false" customHeight="true" outlineLevel="0" collapsed="false">
      <c r="E441" s="11"/>
    </row>
    <row r="442" customFormat="false" ht="15.75" hidden="false" customHeight="true" outlineLevel="0" collapsed="false">
      <c r="E442" s="11"/>
    </row>
    <row r="443" customFormat="false" ht="15.75" hidden="false" customHeight="true" outlineLevel="0" collapsed="false">
      <c r="E443" s="11"/>
    </row>
    <row r="444" customFormat="false" ht="15.75" hidden="false" customHeight="true" outlineLevel="0" collapsed="false">
      <c r="E444" s="11"/>
    </row>
    <row r="445" customFormat="false" ht="15.75" hidden="false" customHeight="true" outlineLevel="0" collapsed="false">
      <c r="E445" s="11"/>
    </row>
    <row r="446" customFormat="false" ht="15.75" hidden="false" customHeight="true" outlineLevel="0" collapsed="false">
      <c r="E446" s="11"/>
    </row>
    <row r="447" customFormat="false" ht="15.75" hidden="false" customHeight="true" outlineLevel="0" collapsed="false">
      <c r="E447" s="11"/>
    </row>
    <row r="448" customFormat="false" ht="15.75" hidden="false" customHeight="true" outlineLevel="0" collapsed="false">
      <c r="E448" s="11"/>
    </row>
    <row r="449" customFormat="false" ht="15.75" hidden="false" customHeight="true" outlineLevel="0" collapsed="false">
      <c r="E449" s="11"/>
    </row>
    <row r="450" customFormat="false" ht="15.75" hidden="false" customHeight="true" outlineLevel="0" collapsed="false">
      <c r="E450" s="11"/>
    </row>
    <row r="451" customFormat="false" ht="15.75" hidden="false" customHeight="true" outlineLevel="0" collapsed="false">
      <c r="E451" s="11"/>
    </row>
    <row r="452" customFormat="false" ht="15.75" hidden="false" customHeight="true" outlineLevel="0" collapsed="false">
      <c r="E452" s="11"/>
    </row>
    <row r="453" customFormat="false" ht="15.75" hidden="false" customHeight="true" outlineLevel="0" collapsed="false">
      <c r="E453" s="11"/>
    </row>
    <row r="454" customFormat="false" ht="15.75" hidden="false" customHeight="true" outlineLevel="0" collapsed="false">
      <c r="E454" s="11"/>
    </row>
    <row r="455" customFormat="false" ht="15.75" hidden="false" customHeight="true" outlineLevel="0" collapsed="false">
      <c r="E455" s="11"/>
    </row>
    <row r="456" customFormat="false" ht="15.75" hidden="false" customHeight="true" outlineLevel="0" collapsed="false">
      <c r="E456" s="11"/>
    </row>
    <row r="457" customFormat="false" ht="15.75" hidden="false" customHeight="true" outlineLevel="0" collapsed="false">
      <c r="E457" s="11"/>
    </row>
    <row r="458" customFormat="false" ht="15.75" hidden="false" customHeight="true" outlineLevel="0" collapsed="false">
      <c r="E458" s="11"/>
    </row>
    <row r="459" customFormat="false" ht="15.75" hidden="false" customHeight="true" outlineLevel="0" collapsed="false">
      <c r="E459" s="11"/>
    </row>
    <row r="460" customFormat="false" ht="15.75" hidden="false" customHeight="true" outlineLevel="0" collapsed="false">
      <c r="E460" s="11"/>
    </row>
    <row r="461" customFormat="false" ht="15.75" hidden="false" customHeight="true" outlineLevel="0" collapsed="false">
      <c r="E461" s="11"/>
    </row>
    <row r="462" customFormat="false" ht="15.75" hidden="false" customHeight="true" outlineLevel="0" collapsed="false">
      <c r="E462" s="11"/>
    </row>
    <row r="463" customFormat="false" ht="15.75" hidden="false" customHeight="true" outlineLevel="0" collapsed="false">
      <c r="E463" s="11"/>
    </row>
    <row r="464" customFormat="false" ht="15.75" hidden="false" customHeight="true" outlineLevel="0" collapsed="false">
      <c r="E464" s="11"/>
    </row>
    <row r="465" customFormat="false" ht="15.75" hidden="false" customHeight="true" outlineLevel="0" collapsed="false">
      <c r="E465" s="11"/>
    </row>
    <row r="466" customFormat="false" ht="15.75" hidden="false" customHeight="true" outlineLevel="0" collapsed="false">
      <c r="E466" s="11"/>
    </row>
    <row r="467" customFormat="false" ht="15.75" hidden="false" customHeight="true" outlineLevel="0" collapsed="false">
      <c r="E467" s="11"/>
    </row>
    <row r="468" customFormat="false" ht="15.75" hidden="false" customHeight="true" outlineLevel="0" collapsed="false">
      <c r="E468" s="11"/>
    </row>
    <row r="469" customFormat="false" ht="15.75" hidden="false" customHeight="true" outlineLevel="0" collapsed="false">
      <c r="E469" s="11"/>
    </row>
    <row r="470" customFormat="false" ht="15.75" hidden="false" customHeight="true" outlineLevel="0" collapsed="false">
      <c r="E470" s="11"/>
    </row>
    <row r="471" customFormat="false" ht="15.75" hidden="false" customHeight="true" outlineLevel="0" collapsed="false">
      <c r="E471" s="11"/>
    </row>
    <row r="472" customFormat="false" ht="15.75" hidden="false" customHeight="true" outlineLevel="0" collapsed="false">
      <c r="E472" s="11"/>
    </row>
    <row r="473" customFormat="false" ht="15.75" hidden="false" customHeight="true" outlineLevel="0" collapsed="false">
      <c r="E473" s="11"/>
    </row>
    <row r="474" customFormat="false" ht="15.75" hidden="false" customHeight="true" outlineLevel="0" collapsed="false">
      <c r="E474" s="11"/>
    </row>
    <row r="475" customFormat="false" ht="15.75" hidden="false" customHeight="true" outlineLevel="0" collapsed="false">
      <c r="E475" s="11"/>
    </row>
    <row r="476" customFormat="false" ht="15.75" hidden="false" customHeight="true" outlineLevel="0" collapsed="false">
      <c r="E476" s="11"/>
    </row>
    <row r="477" customFormat="false" ht="15.75" hidden="false" customHeight="true" outlineLevel="0" collapsed="false">
      <c r="E477" s="11"/>
    </row>
    <row r="478" customFormat="false" ht="15.75" hidden="false" customHeight="true" outlineLevel="0" collapsed="false">
      <c r="E478" s="11"/>
    </row>
    <row r="479" customFormat="false" ht="15.75" hidden="false" customHeight="true" outlineLevel="0" collapsed="false">
      <c r="E479" s="11"/>
    </row>
    <row r="480" customFormat="false" ht="15.75" hidden="false" customHeight="true" outlineLevel="0" collapsed="false">
      <c r="E480" s="11"/>
    </row>
    <row r="481" customFormat="false" ht="15.75" hidden="false" customHeight="true" outlineLevel="0" collapsed="false">
      <c r="E481" s="11"/>
    </row>
    <row r="482" customFormat="false" ht="15.75" hidden="false" customHeight="true" outlineLevel="0" collapsed="false">
      <c r="E482" s="11"/>
    </row>
    <row r="483" customFormat="false" ht="15.75" hidden="false" customHeight="true" outlineLevel="0" collapsed="false">
      <c r="E483" s="11"/>
    </row>
    <row r="484" customFormat="false" ht="15.75" hidden="false" customHeight="true" outlineLevel="0" collapsed="false">
      <c r="E484" s="11"/>
    </row>
    <row r="485" customFormat="false" ht="15.75" hidden="false" customHeight="true" outlineLevel="0" collapsed="false">
      <c r="E485" s="11"/>
    </row>
    <row r="486" customFormat="false" ht="15.75" hidden="false" customHeight="true" outlineLevel="0" collapsed="false">
      <c r="E486" s="11"/>
    </row>
    <row r="487" customFormat="false" ht="15.75" hidden="false" customHeight="true" outlineLevel="0" collapsed="false">
      <c r="E487" s="11"/>
    </row>
    <row r="488" customFormat="false" ht="15.75" hidden="false" customHeight="true" outlineLevel="0" collapsed="false">
      <c r="E488" s="11"/>
    </row>
    <row r="489" customFormat="false" ht="15.75" hidden="false" customHeight="true" outlineLevel="0" collapsed="false">
      <c r="E489" s="11"/>
    </row>
    <row r="490" customFormat="false" ht="15.75" hidden="false" customHeight="true" outlineLevel="0" collapsed="false">
      <c r="E490" s="11"/>
    </row>
    <row r="491" customFormat="false" ht="15.75" hidden="false" customHeight="true" outlineLevel="0" collapsed="false">
      <c r="E491" s="11"/>
    </row>
    <row r="492" customFormat="false" ht="15.75" hidden="false" customHeight="true" outlineLevel="0" collapsed="false">
      <c r="E492" s="11"/>
    </row>
    <row r="493" customFormat="false" ht="15.75" hidden="false" customHeight="true" outlineLevel="0" collapsed="false">
      <c r="E493" s="11"/>
    </row>
    <row r="494" customFormat="false" ht="15.75" hidden="false" customHeight="true" outlineLevel="0" collapsed="false">
      <c r="E494" s="11"/>
    </row>
    <row r="495" customFormat="false" ht="15.75" hidden="false" customHeight="true" outlineLevel="0" collapsed="false">
      <c r="E495" s="11"/>
    </row>
    <row r="496" customFormat="false" ht="15.75" hidden="false" customHeight="true" outlineLevel="0" collapsed="false">
      <c r="E496" s="11"/>
    </row>
    <row r="497" customFormat="false" ht="15.75" hidden="false" customHeight="true" outlineLevel="0" collapsed="false">
      <c r="E497" s="11"/>
    </row>
    <row r="498" customFormat="false" ht="15.75" hidden="false" customHeight="true" outlineLevel="0" collapsed="false">
      <c r="E498" s="11"/>
    </row>
    <row r="499" customFormat="false" ht="15.75" hidden="false" customHeight="true" outlineLevel="0" collapsed="false">
      <c r="E499" s="11"/>
    </row>
    <row r="500" customFormat="false" ht="15.75" hidden="false" customHeight="true" outlineLevel="0" collapsed="false">
      <c r="E500" s="11"/>
    </row>
    <row r="501" customFormat="false" ht="15.75" hidden="false" customHeight="true" outlineLevel="0" collapsed="false">
      <c r="E501" s="11"/>
    </row>
    <row r="502" customFormat="false" ht="15.75" hidden="false" customHeight="true" outlineLevel="0" collapsed="false">
      <c r="E502" s="11"/>
    </row>
    <row r="503" customFormat="false" ht="15.75" hidden="false" customHeight="true" outlineLevel="0" collapsed="false">
      <c r="E503" s="11"/>
    </row>
    <row r="504" customFormat="false" ht="15.75" hidden="false" customHeight="true" outlineLevel="0" collapsed="false">
      <c r="E504" s="11"/>
    </row>
    <row r="505" customFormat="false" ht="15.75" hidden="false" customHeight="true" outlineLevel="0" collapsed="false">
      <c r="E505" s="11"/>
    </row>
    <row r="506" customFormat="false" ht="15.75" hidden="false" customHeight="true" outlineLevel="0" collapsed="false">
      <c r="E506" s="11"/>
    </row>
    <row r="507" customFormat="false" ht="15.75" hidden="false" customHeight="true" outlineLevel="0" collapsed="false">
      <c r="E507" s="11"/>
    </row>
    <row r="508" customFormat="false" ht="15.75" hidden="false" customHeight="true" outlineLevel="0" collapsed="false">
      <c r="E508" s="11"/>
    </row>
    <row r="509" customFormat="false" ht="15.75" hidden="false" customHeight="true" outlineLevel="0" collapsed="false">
      <c r="E509" s="11"/>
    </row>
    <row r="510" customFormat="false" ht="15.75" hidden="false" customHeight="true" outlineLevel="0" collapsed="false">
      <c r="E510" s="11"/>
    </row>
    <row r="511" customFormat="false" ht="15.75" hidden="false" customHeight="true" outlineLevel="0" collapsed="false">
      <c r="E511" s="11"/>
    </row>
    <row r="512" customFormat="false" ht="15.75" hidden="false" customHeight="true" outlineLevel="0" collapsed="false">
      <c r="E512" s="11"/>
    </row>
    <row r="513" customFormat="false" ht="15.75" hidden="false" customHeight="true" outlineLevel="0" collapsed="false">
      <c r="E513" s="11"/>
    </row>
    <row r="514" customFormat="false" ht="15.75" hidden="false" customHeight="true" outlineLevel="0" collapsed="false">
      <c r="E514" s="11"/>
    </row>
    <row r="515" customFormat="false" ht="15.75" hidden="false" customHeight="true" outlineLevel="0" collapsed="false">
      <c r="E515" s="11"/>
    </row>
    <row r="516" customFormat="false" ht="15.75" hidden="false" customHeight="true" outlineLevel="0" collapsed="false">
      <c r="E516" s="11"/>
    </row>
    <row r="517" customFormat="false" ht="15.75" hidden="false" customHeight="true" outlineLevel="0" collapsed="false">
      <c r="E517" s="11"/>
    </row>
    <row r="518" customFormat="false" ht="15.75" hidden="false" customHeight="true" outlineLevel="0" collapsed="false">
      <c r="E518" s="11"/>
    </row>
    <row r="519" customFormat="false" ht="15.75" hidden="false" customHeight="true" outlineLevel="0" collapsed="false">
      <c r="E519" s="11"/>
    </row>
    <row r="520" customFormat="false" ht="15.75" hidden="false" customHeight="true" outlineLevel="0" collapsed="false">
      <c r="E520" s="11"/>
    </row>
    <row r="521" customFormat="false" ht="15.75" hidden="false" customHeight="true" outlineLevel="0" collapsed="false">
      <c r="E521" s="11"/>
    </row>
    <row r="522" customFormat="false" ht="15.75" hidden="false" customHeight="true" outlineLevel="0" collapsed="false">
      <c r="E522" s="11"/>
    </row>
    <row r="523" customFormat="false" ht="15.75" hidden="false" customHeight="true" outlineLevel="0" collapsed="false">
      <c r="E523" s="11"/>
    </row>
    <row r="524" customFormat="false" ht="15.75" hidden="false" customHeight="true" outlineLevel="0" collapsed="false">
      <c r="E524" s="11"/>
    </row>
    <row r="525" customFormat="false" ht="15.75" hidden="false" customHeight="true" outlineLevel="0" collapsed="false">
      <c r="E525" s="11"/>
    </row>
    <row r="526" customFormat="false" ht="15.75" hidden="false" customHeight="true" outlineLevel="0" collapsed="false">
      <c r="E526" s="11"/>
    </row>
    <row r="527" customFormat="false" ht="15.75" hidden="false" customHeight="true" outlineLevel="0" collapsed="false">
      <c r="E527" s="11"/>
    </row>
    <row r="528" customFormat="false" ht="15.75" hidden="false" customHeight="true" outlineLevel="0" collapsed="false">
      <c r="E528" s="11"/>
    </row>
    <row r="529" customFormat="false" ht="15.75" hidden="false" customHeight="true" outlineLevel="0" collapsed="false">
      <c r="E529" s="11"/>
    </row>
    <row r="530" customFormat="false" ht="15.75" hidden="false" customHeight="true" outlineLevel="0" collapsed="false">
      <c r="E530" s="11"/>
    </row>
    <row r="531" customFormat="false" ht="15.75" hidden="false" customHeight="true" outlineLevel="0" collapsed="false">
      <c r="E531" s="11"/>
    </row>
    <row r="532" customFormat="false" ht="15.75" hidden="false" customHeight="true" outlineLevel="0" collapsed="false">
      <c r="E532" s="11"/>
    </row>
    <row r="533" customFormat="false" ht="15.75" hidden="false" customHeight="true" outlineLevel="0" collapsed="false">
      <c r="E533" s="11"/>
    </row>
    <row r="534" customFormat="false" ht="15.75" hidden="false" customHeight="true" outlineLevel="0" collapsed="false">
      <c r="E534" s="11"/>
    </row>
    <row r="535" customFormat="false" ht="15.75" hidden="false" customHeight="true" outlineLevel="0" collapsed="false">
      <c r="E535" s="11"/>
    </row>
    <row r="536" customFormat="false" ht="15.75" hidden="false" customHeight="true" outlineLevel="0" collapsed="false">
      <c r="E536" s="11"/>
    </row>
    <row r="537" customFormat="false" ht="15.75" hidden="false" customHeight="true" outlineLevel="0" collapsed="false">
      <c r="E537" s="11"/>
    </row>
    <row r="538" customFormat="false" ht="15.75" hidden="false" customHeight="true" outlineLevel="0" collapsed="false">
      <c r="E538" s="11"/>
    </row>
    <row r="539" customFormat="false" ht="15.75" hidden="false" customHeight="true" outlineLevel="0" collapsed="false">
      <c r="E539" s="11"/>
    </row>
    <row r="540" customFormat="false" ht="15.75" hidden="false" customHeight="true" outlineLevel="0" collapsed="false">
      <c r="E540" s="11"/>
    </row>
    <row r="541" customFormat="false" ht="15.75" hidden="false" customHeight="true" outlineLevel="0" collapsed="false">
      <c r="E541" s="11"/>
    </row>
    <row r="542" customFormat="false" ht="15.75" hidden="false" customHeight="true" outlineLevel="0" collapsed="false">
      <c r="E542" s="11"/>
    </row>
    <row r="543" customFormat="false" ht="15.75" hidden="false" customHeight="true" outlineLevel="0" collapsed="false">
      <c r="E543" s="11"/>
    </row>
    <row r="544" customFormat="false" ht="15.75" hidden="false" customHeight="true" outlineLevel="0" collapsed="false">
      <c r="E544" s="11"/>
    </row>
    <row r="545" customFormat="false" ht="15.75" hidden="false" customHeight="true" outlineLevel="0" collapsed="false">
      <c r="E545" s="11"/>
    </row>
    <row r="546" customFormat="false" ht="15.75" hidden="false" customHeight="true" outlineLevel="0" collapsed="false">
      <c r="E546" s="11"/>
    </row>
    <row r="547" customFormat="false" ht="15.75" hidden="false" customHeight="true" outlineLevel="0" collapsed="false">
      <c r="E547" s="11"/>
    </row>
    <row r="548" customFormat="false" ht="15.75" hidden="false" customHeight="true" outlineLevel="0" collapsed="false">
      <c r="E548" s="11"/>
    </row>
    <row r="549" customFormat="false" ht="15.75" hidden="false" customHeight="true" outlineLevel="0" collapsed="false">
      <c r="E549" s="11"/>
    </row>
    <row r="550" customFormat="false" ht="15.75" hidden="false" customHeight="true" outlineLevel="0" collapsed="false">
      <c r="E550" s="11"/>
    </row>
    <row r="551" customFormat="false" ht="15.75" hidden="false" customHeight="true" outlineLevel="0" collapsed="false">
      <c r="E551" s="11"/>
    </row>
    <row r="552" customFormat="false" ht="15.75" hidden="false" customHeight="true" outlineLevel="0" collapsed="false">
      <c r="E552" s="11"/>
    </row>
    <row r="553" customFormat="false" ht="15.75" hidden="false" customHeight="true" outlineLevel="0" collapsed="false">
      <c r="E553" s="11"/>
    </row>
    <row r="554" customFormat="false" ht="15.75" hidden="false" customHeight="true" outlineLevel="0" collapsed="false">
      <c r="E554" s="11"/>
    </row>
    <row r="555" customFormat="false" ht="15.75" hidden="false" customHeight="true" outlineLevel="0" collapsed="false">
      <c r="E555" s="11"/>
    </row>
    <row r="556" customFormat="false" ht="15.75" hidden="false" customHeight="true" outlineLevel="0" collapsed="false">
      <c r="E556" s="11"/>
    </row>
    <row r="557" customFormat="false" ht="15.75" hidden="false" customHeight="true" outlineLevel="0" collapsed="false">
      <c r="E557" s="11"/>
    </row>
    <row r="558" customFormat="false" ht="15.75" hidden="false" customHeight="true" outlineLevel="0" collapsed="false">
      <c r="E558" s="11"/>
    </row>
    <row r="559" customFormat="false" ht="15.75" hidden="false" customHeight="true" outlineLevel="0" collapsed="false">
      <c r="E559" s="11"/>
    </row>
    <row r="560" customFormat="false" ht="15.75" hidden="false" customHeight="true" outlineLevel="0" collapsed="false">
      <c r="E560" s="11"/>
    </row>
    <row r="561" customFormat="false" ht="15.75" hidden="false" customHeight="true" outlineLevel="0" collapsed="false">
      <c r="E561" s="11"/>
    </row>
    <row r="562" customFormat="false" ht="15.75" hidden="false" customHeight="true" outlineLevel="0" collapsed="false">
      <c r="E562" s="11"/>
    </row>
    <row r="563" customFormat="false" ht="15.75" hidden="false" customHeight="true" outlineLevel="0" collapsed="false">
      <c r="E563" s="11"/>
    </row>
    <row r="564" customFormat="false" ht="15.75" hidden="false" customHeight="true" outlineLevel="0" collapsed="false">
      <c r="E564" s="11"/>
    </row>
    <row r="565" customFormat="false" ht="15.75" hidden="false" customHeight="true" outlineLevel="0" collapsed="false">
      <c r="E565" s="11"/>
    </row>
    <row r="566" customFormat="false" ht="15.75" hidden="false" customHeight="true" outlineLevel="0" collapsed="false">
      <c r="E566" s="11"/>
    </row>
    <row r="567" customFormat="false" ht="15.75" hidden="false" customHeight="true" outlineLevel="0" collapsed="false">
      <c r="E567" s="11"/>
    </row>
    <row r="568" customFormat="false" ht="15.75" hidden="false" customHeight="true" outlineLevel="0" collapsed="false">
      <c r="E568" s="11"/>
    </row>
    <row r="569" customFormat="false" ht="15.75" hidden="false" customHeight="true" outlineLevel="0" collapsed="false">
      <c r="E569" s="11"/>
    </row>
    <row r="570" customFormat="false" ht="15.75" hidden="false" customHeight="true" outlineLevel="0" collapsed="false">
      <c r="E570" s="11"/>
    </row>
    <row r="571" customFormat="false" ht="15.75" hidden="false" customHeight="true" outlineLevel="0" collapsed="false">
      <c r="E571" s="11"/>
    </row>
    <row r="572" customFormat="false" ht="15.75" hidden="false" customHeight="true" outlineLevel="0" collapsed="false">
      <c r="E572" s="11"/>
    </row>
    <row r="573" customFormat="false" ht="15.75" hidden="false" customHeight="true" outlineLevel="0" collapsed="false">
      <c r="E573" s="11"/>
    </row>
    <row r="574" customFormat="false" ht="15.75" hidden="false" customHeight="true" outlineLevel="0" collapsed="false">
      <c r="E574" s="11"/>
    </row>
    <row r="575" customFormat="false" ht="15.75" hidden="false" customHeight="true" outlineLevel="0" collapsed="false">
      <c r="E575" s="11"/>
    </row>
    <row r="576" customFormat="false" ht="15.75" hidden="false" customHeight="true" outlineLevel="0" collapsed="false">
      <c r="E576" s="11"/>
    </row>
    <row r="577" customFormat="false" ht="15.75" hidden="false" customHeight="true" outlineLevel="0" collapsed="false">
      <c r="E577" s="11"/>
    </row>
    <row r="578" customFormat="false" ht="15.75" hidden="false" customHeight="true" outlineLevel="0" collapsed="false">
      <c r="E578" s="11"/>
    </row>
    <row r="579" customFormat="false" ht="15.75" hidden="false" customHeight="true" outlineLevel="0" collapsed="false">
      <c r="E579" s="11"/>
    </row>
    <row r="580" customFormat="false" ht="15.75" hidden="false" customHeight="true" outlineLevel="0" collapsed="false">
      <c r="E580" s="11"/>
    </row>
    <row r="581" customFormat="false" ht="15.75" hidden="false" customHeight="true" outlineLevel="0" collapsed="false">
      <c r="E581" s="11"/>
    </row>
    <row r="582" customFormat="false" ht="15.75" hidden="false" customHeight="true" outlineLevel="0" collapsed="false">
      <c r="E582" s="11"/>
    </row>
    <row r="583" customFormat="false" ht="15.75" hidden="false" customHeight="true" outlineLevel="0" collapsed="false">
      <c r="E583" s="11"/>
    </row>
    <row r="584" customFormat="false" ht="15.75" hidden="false" customHeight="true" outlineLevel="0" collapsed="false">
      <c r="E584" s="11"/>
    </row>
    <row r="585" customFormat="false" ht="15.75" hidden="false" customHeight="true" outlineLevel="0" collapsed="false">
      <c r="E585" s="11"/>
    </row>
    <row r="586" customFormat="false" ht="15.75" hidden="false" customHeight="true" outlineLevel="0" collapsed="false">
      <c r="E586" s="11"/>
    </row>
    <row r="587" customFormat="false" ht="15.75" hidden="false" customHeight="true" outlineLevel="0" collapsed="false">
      <c r="E587" s="11"/>
    </row>
    <row r="588" customFormat="false" ht="15.75" hidden="false" customHeight="true" outlineLevel="0" collapsed="false">
      <c r="E588" s="11"/>
    </row>
    <row r="589" customFormat="false" ht="15.75" hidden="false" customHeight="true" outlineLevel="0" collapsed="false">
      <c r="E589" s="11"/>
    </row>
    <row r="590" customFormat="false" ht="15.75" hidden="false" customHeight="true" outlineLevel="0" collapsed="false">
      <c r="E590" s="11"/>
    </row>
    <row r="591" customFormat="false" ht="15.75" hidden="false" customHeight="true" outlineLevel="0" collapsed="false">
      <c r="E591" s="11"/>
    </row>
    <row r="592" customFormat="false" ht="15.75" hidden="false" customHeight="true" outlineLevel="0" collapsed="false">
      <c r="E592" s="11"/>
    </row>
    <row r="593" customFormat="false" ht="15.75" hidden="false" customHeight="true" outlineLevel="0" collapsed="false">
      <c r="E593" s="11"/>
    </row>
    <row r="594" customFormat="false" ht="15.75" hidden="false" customHeight="true" outlineLevel="0" collapsed="false">
      <c r="E594" s="11"/>
    </row>
    <row r="595" customFormat="false" ht="15.75" hidden="false" customHeight="true" outlineLevel="0" collapsed="false">
      <c r="E595" s="11"/>
    </row>
    <row r="596" customFormat="false" ht="15.75" hidden="false" customHeight="true" outlineLevel="0" collapsed="false">
      <c r="E596" s="11"/>
    </row>
    <row r="597" customFormat="false" ht="15.75" hidden="false" customHeight="true" outlineLevel="0" collapsed="false">
      <c r="E597" s="11"/>
    </row>
    <row r="598" customFormat="false" ht="15.75" hidden="false" customHeight="true" outlineLevel="0" collapsed="false">
      <c r="E598" s="11"/>
    </row>
    <row r="599" customFormat="false" ht="15.75" hidden="false" customHeight="true" outlineLevel="0" collapsed="false">
      <c r="E599" s="11"/>
    </row>
    <row r="600" customFormat="false" ht="15.75" hidden="false" customHeight="true" outlineLevel="0" collapsed="false">
      <c r="E600" s="11"/>
    </row>
    <row r="601" customFormat="false" ht="15.75" hidden="false" customHeight="true" outlineLevel="0" collapsed="false">
      <c r="E601" s="11"/>
    </row>
    <row r="602" customFormat="false" ht="15.75" hidden="false" customHeight="true" outlineLevel="0" collapsed="false">
      <c r="E602" s="11"/>
    </row>
    <row r="603" customFormat="false" ht="15.75" hidden="false" customHeight="true" outlineLevel="0" collapsed="false">
      <c r="E603" s="11"/>
    </row>
    <row r="604" customFormat="false" ht="15.75" hidden="false" customHeight="true" outlineLevel="0" collapsed="false">
      <c r="E604" s="11"/>
    </row>
    <row r="605" customFormat="false" ht="15.75" hidden="false" customHeight="true" outlineLevel="0" collapsed="false">
      <c r="E605" s="11"/>
    </row>
    <row r="606" customFormat="false" ht="15.75" hidden="false" customHeight="true" outlineLevel="0" collapsed="false">
      <c r="E606" s="11"/>
    </row>
    <row r="607" customFormat="false" ht="15.75" hidden="false" customHeight="true" outlineLevel="0" collapsed="false">
      <c r="E607" s="11"/>
    </row>
    <row r="608" customFormat="false" ht="15.75" hidden="false" customHeight="true" outlineLevel="0" collapsed="false">
      <c r="E608" s="11"/>
    </row>
    <row r="609" customFormat="false" ht="15.75" hidden="false" customHeight="true" outlineLevel="0" collapsed="false">
      <c r="E609" s="11"/>
    </row>
    <row r="610" customFormat="false" ht="15.75" hidden="false" customHeight="true" outlineLevel="0" collapsed="false">
      <c r="E610" s="11"/>
    </row>
    <row r="611" customFormat="false" ht="15.75" hidden="false" customHeight="true" outlineLevel="0" collapsed="false">
      <c r="E611" s="11"/>
    </row>
    <row r="612" customFormat="false" ht="15.75" hidden="false" customHeight="true" outlineLevel="0" collapsed="false">
      <c r="E612" s="11"/>
    </row>
    <row r="613" customFormat="false" ht="15.75" hidden="false" customHeight="true" outlineLevel="0" collapsed="false">
      <c r="E613" s="11"/>
    </row>
    <row r="614" customFormat="false" ht="15.75" hidden="false" customHeight="true" outlineLevel="0" collapsed="false">
      <c r="E614" s="11"/>
    </row>
    <row r="615" customFormat="false" ht="15.75" hidden="false" customHeight="true" outlineLevel="0" collapsed="false">
      <c r="E615" s="11"/>
    </row>
    <row r="616" customFormat="false" ht="15.75" hidden="false" customHeight="true" outlineLevel="0" collapsed="false">
      <c r="E616" s="11"/>
    </row>
    <row r="617" customFormat="false" ht="15.75" hidden="false" customHeight="true" outlineLevel="0" collapsed="false">
      <c r="E617" s="11"/>
    </row>
    <row r="618" customFormat="false" ht="15.75" hidden="false" customHeight="true" outlineLevel="0" collapsed="false">
      <c r="E618" s="11"/>
    </row>
    <row r="619" customFormat="false" ht="15.75" hidden="false" customHeight="true" outlineLevel="0" collapsed="false">
      <c r="E619" s="11"/>
    </row>
    <row r="620" customFormat="false" ht="15.75" hidden="false" customHeight="true" outlineLevel="0" collapsed="false">
      <c r="E620" s="11"/>
    </row>
    <row r="621" customFormat="false" ht="15.75" hidden="false" customHeight="true" outlineLevel="0" collapsed="false">
      <c r="E621" s="11"/>
    </row>
    <row r="622" customFormat="false" ht="15.75" hidden="false" customHeight="true" outlineLevel="0" collapsed="false">
      <c r="E622" s="11"/>
    </row>
    <row r="623" customFormat="false" ht="15.75" hidden="false" customHeight="true" outlineLevel="0" collapsed="false">
      <c r="E623" s="11"/>
    </row>
    <row r="624" customFormat="false" ht="15.75" hidden="false" customHeight="true" outlineLevel="0" collapsed="false">
      <c r="E624" s="11"/>
    </row>
    <row r="625" customFormat="false" ht="15.75" hidden="false" customHeight="true" outlineLevel="0" collapsed="false">
      <c r="E625" s="11"/>
    </row>
    <row r="626" customFormat="false" ht="15.75" hidden="false" customHeight="true" outlineLevel="0" collapsed="false">
      <c r="E626" s="11"/>
    </row>
    <row r="627" customFormat="false" ht="15.75" hidden="false" customHeight="true" outlineLevel="0" collapsed="false">
      <c r="E627" s="11"/>
    </row>
    <row r="628" customFormat="false" ht="15.75" hidden="false" customHeight="true" outlineLevel="0" collapsed="false">
      <c r="E628" s="11"/>
    </row>
    <row r="629" customFormat="false" ht="15.75" hidden="false" customHeight="true" outlineLevel="0" collapsed="false">
      <c r="E629" s="11"/>
    </row>
    <row r="630" customFormat="false" ht="15.75" hidden="false" customHeight="true" outlineLevel="0" collapsed="false">
      <c r="E630" s="11"/>
    </row>
    <row r="631" customFormat="false" ht="15.75" hidden="false" customHeight="true" outlineLevel="0" collapsed="false">
      <c r="E631" s="11"/>
    </row>
    <row r="632" customFormat="false" ht="15.75" hidden="false" customHeight="true" outlineLevel="0" collapsed="false">
      <c r="E632" s="11"/>
    </row>
    <row r="633" customFormat="false" ht="15.75" hidden="false" customHeight="true" outlineLevel="0" collapsed="false">
      <c r="E633" s="11"/>
    </row>
    <row r="634" customFormat="false" ht="15.75" hidden="false" customHeight="true" outlineLevel="0" collapsed="false">
      <c r="E634" s="11"/>
    </row>
    <row r="635" customFormat="false" ht="15.75" hidden="false" customHeight="true" outlineLevel="0" collapsed="false">
      <c r="E635" s="11"/>
    </row>
    <row r="636" customFormat="false" ht="15.75" hidden="false" customHeight="true" outlineLevel="0" collapsed="false">
      <c r="E636" s="11"/>
    </row>
    <row r="637" customFormat="false" ht="15.75" hidden="false" customHeight="true" outlineLevel="0" collapsed="false">
      <c r="E637" s="11"/>
    </row>
    <row r="638" customFormat="false" ht="15.75" hidden="false" customHeight="true" outlineLevel="0" collapsed="false">
      <c r="E638" s="11"/>
    </row>
    <row r="639" customFormat="false" ht="15.75" hidden="false" customHeight="true" outlineLevel="0" collapsed="false">
      <c r="E639" s="11"/>
    </row>
    <row r="640" customFormat="false" ht="15.75" hidden="false" customHeight="true" outlineLevel="0" collapsed="false">
      <c r="E640" s="11"/>
    </row>
    <row r="641" customFormat="false" ht="15.75" hidden="false" customHeight="true" outlineLevel="0" collapsed="false">
      <c r="E641" s="11"/>
    </row>
    <row r="642" customFormat="false" ht="15.75" hidden="false" customHeight="true" outlineLevel="0" collapsed="false">
      <c r="E642" s="11"/>
    </row>
    <row r="643" customFormat="false" ht="15.75" hidden="false" customHeight="true" outlineLevel="0" collapsed="false">
      <c r="E643" s="11"/>
    </row>
    <row r="644" customFormat="false" ht="15.75" hidden="false" customHeight="true" outlineLevel="0" collapsed="false">
      <c r="E644" s="11"/>
    </row>
    <row r="645" customFormat="false" ht="15.75" hidden="false" customHeight="true" outlineLevel="0" collapsed="false">
      <c r="E645" s="11"/>
    </row>
    <row r="646" customFormat="false" ht="15.75" hidden="false" customHeight="true" outlineLevel="0" collapsed="false">
      <c r="E646" s="11"/>
    </row>
    <row r="647" customFormat="false" ht="15.75" hidden="false" customHeight="true" outlineLevel="0" collapsed="false">
      <c r="E647" s="11"/>
    </row>
    <row r="648" customFormat="false" ht="15.75" hidden="false" customHeight="true" outlineLevel="0" collapsed="false">
      <c r="E648" s="11"/>
    </row>
    <row r="649" customFormat="false" ht="15.75" hidden="false" customHeight="true" outlineLevel="0" collapsed="false">
      <c r="E649" s="11"/>
    </row>
    <row r="650" customFormat="false" ht="15.75" hidden="false" customHeight="true" outlineLevel="0" collapsed="false">
      <c r="E650" s="11"/>
    </row>
    <row r="651" customFormat="false" ht="15.75" hidden="false" customHeight="true" outlineLevel="0" collapsed="false">
      <c r="E651" s="11"/>
    </row>
    <row r="652" customFormat="false" ht="15.75" hidden="false" customHeight="true" outlineLevel="0" collapsed="false">
      <c r="E652" s="11"/>
    </row>
    <row r="653" customFormat="false" ht="15.75" hidden="false" customHeight="true" outlineLevel="0" collapsed="false">
      <c r="E653" s="11"/>
    </row>
    <row r="654" customFormat="false" ht="15.75" hidden="false" customHeight="true" outlineLevel="0" collapsed="false">
      <c r="E654" s="11"/>
    </row>
    <row r="655" customFormat="false" ht="15.75" hidden="false" customHeight="true" outlineLevel="0" collapsed="false">
      <c r="E655" s="11"/>
    </row>
    <row r="656" customFormat="false" ht="15.75" hidden="false" customHeight="true" outlineLevel="0" collapsed="false">
      <c r="E656" s="11"/>
    </row>
    <row r="657" customFormat="false" ht="15.75" hidden="false" customHeight="true" outlineLevel="0" collapsed="false">
      <c r="E657" s="11"/>
    </row>
    <row r="658" customFormat="false" ht="15.75" hidden="false" customHeight="true" outlineLevel="0" collapsed="false">
      <c r="E658" s="11"/>
    </row>
    <row r="659" customFormat="false" ht="15.75" hidden="false" customHeight="true" outlineLevel="0" collapsed="false">
      <c r="E659" s="11"/>
    </row>
    <row r="660" customFormat="false" ht="15.75" hidden="false" customHeight="true" outlineLevel="0" collapsed="false">
      <c r="E660" s="11"/>
    </row>
    <row r="661" customFormat="false" ht="15.75" hidden="false" customHeight="true" outlineLevel="0" collapsed="false">
      <c r="E661" s="11"/>
    </row>
    <row r="662" customFormat="false" ht="15.75" hidden="false" customHeight="true" outlineLevel="0" collapsed="false">
      <c r="E662" s="11"/>
    </row>
    <row r="663" customFormat="false" ht="15.75" hidden="false" customHeight="true" outlineLevel="0" collapsed="false">
      <c r="E663" s="11"/>
    </row>
    <row r="664" customFormat="false" ht="15.75" hidden="false" customHeight="true" outlineLevel="0" collapsed="false">
      <c r="E664" s="11"/>
    </row>
    <row r="665" customFormat="false" ht="15.75" hidden="false" customHeight="true" outlineLevel="0" collapsed="false">
      <c r="E665" s="11"/>
    </row>
    <row r="666" customFormat="false" ht="15.75" hidden="false" customHeight="true" outlineLevel="0" collapsed="false">
      <c r="E666" s="11"/>
    </row>
    <row r="667" customFormat="false" ht="15.75" hidden="false" customHeight="true" outlineLevel="0" collapsed="false">
      <c r="E667" s="11"/>
    </row>
    <row r="668" customFormat="false" ht="15.75" hidden="false" customHeight="true" outlineLevel="0" collapsed="false">
      <c r="E668" s="11"/>
    </row>
    <row r="669" customFormat="false" ht="15.75" hidden="false" customHeight="true" outlineLevel="0" collapsed="false">
      <c r="E669" s="11"/>
    </row>
    <row r="670" customFormat="false" ht="15.75" hidden="false" customHeight="true" outlineLevel="0" collapsed="false">
      <c r="E670" s="11"/>
    </row>
    <row r="671" customFormat="false" ht="15.75" hidden="false" customHeight="true" outlineLevel="0" collapsed="false">
      <c r="E671" s="11"/>
    </row>
    <row r="672" customFormat="false" ht="15.75" hidden="false" customHeight="true" outlineLevel="0" collapsed="false">
      <c r="E672" s="11"/>
    </row>
    <row r="673" customFormat="false" ht="15.75" hidden="false" customHeight="true" outlineLevel="0" collapsed="false">
      <c r="E673" s="11"/>
    </row>
    <row r="674" customFormat="false" ht="15.75" hidden="false" customHeight="true" outlineLevel="0" collapsed="false">
      <c r="E674" s="11"/>
    </row>
    <row r="675" customFormat="false" ht="15.75" hidden="false" customHeight="true" outlineLevel="0" collapsed="false">
      <c r="E675" s="11"/>
    </row>
    <row r="676" customFormat="false" ht="15.75" hidden="false" customHeight="true" outlineLevel="0" collapsed="false">
      <c r="E676" s="11"/>
    </row>
    <row r="677" customFormat="false" ht="15.75" hidden="false" customHeight="true" outlineLevel="0" collapsed="false">
      <c r="E677" s="11"/>
    </row>
    <row r="678" customFormat="false" ht="15.75" hidden="false" customHeight="true" outlineLevel="0" collapsed="false">
      <c r="E678" s="11"/>
    </row>
    <row r="679" customFormat="false" ht="15.75" hidden="false" customHeight="true" outlineLevel="0" collapsed="false">
      <c r="E679" s="11"/>
    </row>
    <row r="680" customFormat="false" ht="15.75" hidden="false" customHeight="true" outlineLevel="0" collapsed="false">
      <c r="E680" s="11"/>
    </row>
    <row r="681" customFormat="false" ht="15.75" hidden="false" customHeight="true" outlineLevel="0" collapsed="false">
      <c r="E681" s="11"/>
    </row>
    <row r="682" customFormat="false" ht="15.75" hidden="false" customHeight="true" outlineLevel="0" collapsed="false">
      <c r="E682" s="11"/>
    </row>
    <row r="683" customFormat="false" ht="15.75" hidden="false" customHeight="true" outlineLevel="0" collapsed="false">
      <c r="E683" s="11"/>
    </row>
    <row r="684" customFormat="false" ht="15.75" hidden="false" customHeight="true" outlineLevel="0" collapsed="false">
      <c r="E684" s="11"/>
    </row>
    <row r="685" customFormat="false" ht="15.75" hidden="false" customHeight="true" outlineLevel="0" collapsed="false">
      <c r="E685" s="11"/>
    </row>
    <row r="686" customFormat="false" ht="15.75" hidden="false" customHeight="true" outlineLevel="0" collapsed="false">
      <c r="E686" s="11"/>
    </row>
    <row r="687" customFormat="false" ht="15.75" hidden="false" customHeight="true" outlineLevel="0" collapsed="false">
      <c r="E687" s="11"/>
    </row>
    <row r="688" customFormat="false" ht="15.75" hidden="false" customHeight="true" outlineLevel="0" collapsed="false">
      <c r="E688" s="11"/>
    </row>
    <row r="689" customFormat="false" ht="15.75" hidden="false" customHeight="true" outlineLevel="0" collapsed="false">
      <c r="E689" s="11"/>
    </row>
    <row r="690" customFormat="false" ht="15.75" hidden="false" customHeight="true" outlineLevel="0" collapsed="false">
      <c r="E690" s="11"/>
    </row>
    <row r="691" customFormat="false" ht="15.75" hidden="false" customHeight="true" outlineLevel="0" collapsed="false">
      <c r="E691" s="11"/>
    </row>
    <row r="692" customFormat="false" ht="15.75" hidden="false" customHeight="true" outlineLevel="0" collapsed="false">
      <c r="E692" s="11"/>
    </row>
    <row r="693" customFormat="false" ht="15.75" hidden="false" customHeight="true" outlineLevel="0" collapsed="false">
      <c r="E693" s="11"/>
    </row>
    <row r="694" customFormat="false" ht="15.75" hidden="false" customHeight="true" outlineLevel="0" collapsed="false">
      <c r="E694" s="11"/>
    </row>
    <row r="695" customFormat="false" ht="15.75" hidden="false" customHeight="true" outlineLevel="0" collapsed="false">
      <c r="E695" s="11"/>
    </row>
    <row r="696" customFormat="false" ht="15.75" hidden="false" customHeight="true" outlineLevel="0" collapsed="false">
      <c r="E696" s="11"/>
    </row>
    <row r="697" customFormat="false" ht="15.75" hidden="false" customHeight="true" outlineLevel="0" collapsed="false">
      <c r="E697" s="11"/>
    </row>
    <row r="698" customFormat="false" ht="15.75" hidden="false" customHeight="true" outlineLevel="0" collapsed="false">
      <c r="E698" s="11"/>
    </row>
    <row r="699" customFormat="false" ht="15.75" hidden="false" customHeight="true" outlineLevel="0" collapsed="false">
      <c r="E699" s="11"/>
    </row>
    <row r="700" customFormat="false" ht="15.75" hidden="false" customHeight="true" outlineLevel="0" collapsed="false">
      <c r="E700" s="11"/>
    </row>
    <row r="701" customFormat="false" ht="15.75" hidden="false" customHeight="true" outlineLevel="0" collapsed="false">
      <c r="E701" s="11"/>
    </row>
    <row r="702" customFormat="false" ht="15.75" hidden="false" customHeight="true" outlineLevel="0" collapsed="false">
      <c r="E702" s="11"/>
    </row>
    <row r="703" customFormat="false" ht="15.75" hidden="false" customHeight="true" outlineLevel="0" collapsed="false">
      <c r="E703" s="11"/>
    </row>
    <row r="704" customFormat="false" ht="15.75" hidden="false" customHeight="true" outlineLevel="0" collapsed="false">
      <c r="E704" s="11"/>
    </row>
    <row r="705" customFormat="false" ht="15.75" hidden="false" customHeight="true" outlineLevel="0" collapsed="false">
      <c r="E705" s="11"/>
    </row>
    <row r="706" customFormat="false" ht="15.75" hidden="false" customHeight="true" outlineLevel="0" collapsed="false">
      <c r="E706" s="11"/>
    </row>
    <row r="707" customFormat="false" ht="15.75" hidden="false" customHeight="true" outlineLevel="0" collapsed="false">
      <c r="E707" s="11"/>
    </row>
    <row r="708" customFormat="false" ht="15.75" hidden="false" customHeight="true" outlineLevel="0" collapsed="false">
      <c r="E708" s="11"/>
    </row>
    <row r="709" customFormat="false" ht="15.75" hidden="false" customHeight="true" outlineLevel="0" collapsed="false">
      <c r="E709" s="11"/>
    </row>
    <row r="710" customFormat="false" ht="15.75" hidden="false" customHeight="true" outlineLevel="0" collapsed="false">
      <c r="E710" s="11"/>
    </row>
    <row r="711" customFormat="false" ht="15.75" hidden="false" customHeight="true" outlineLevel="0" collapsed="false">
      <c r="E711" s="11"/>
    </row>
    <row r="712" customFormat="false" ht="15.75" hidden="false" customHeight="true" outlineLevel="0" collapsed="false">
      <c r="E712" s="11"/>
    </row>
    <row r="713" customFormat="false" ht="15.75" hidden="false" customHeight="true" outlineLevel="0" collapsed="false">
      <c r="E713" s="11"/>
    </row>
    <row r="714" customFormat="false" ht="15.75" hidden="false" customHeight="true" outlineLevel="0" collapsed="false">
      <c r="E714" s="11"/>
    </row>
    <row r="715" customFormat="false" ht="15.75" hidden="false" customHeight="true" outlineLevel="0" collapsed="false">
      <c r="E715" s="11"/>
    </row>
    <row r="716" customFormat="false" ht="15.75" hidden="false" customHeight="true" outlineLevel="0" collapsed="false">
      <c r="E716" s="11"/>
    </row>
    <row r="717" customFormat="false" ht="15.75" hidden="false" customHeight="true" outlineLevel="0" collapsed="false">
      <c r="E717" s="11"/>
    </row>
    <row r="718" customFormat="false" ht="15.75" hidden="false" customHeight="true" outlineLevel="0" collapsed="false">
      <c r="E718" s="11"/>
    </row>
    <row r="719" customFormat="false" ht="15.75" hidden="false" customHeight="true" outlineLevel="0" collapsed="false">
      <c r="E719" s="11"/>
    </row>
    <row r="720" customFormat="false" ht="15.75" hidden="false" customHeight="true" outlineLevel="0" collapsed="false">
      <c r="E720" s="11"/>
    </row>
    <row r="721" customFormat="false" ht="15.75" hidden="false" customHeight="true" outlineLevel="0" collapsed="false">
      <c r="E721" s="11"/>
    </row>
    <row r="722" customFormat="false" ht="15.75" hidden="false" customHeight="true" outlineLevel="0" collapsed="false">
      <c r="E722" s="11"/>
    </row>
    <row r="723" customFormat="false" ht="15.75" hidden="false" customHeight="true" outlineLevel="0" collapsed="false">
      <c r="E723" s="11"/>
    </row>
    <row r="724" customFormat="false" ht="15.75" hidden="false" customHeight="true" outlineLevel="0" collapsed="false">
      <c r="E724" s="11"/>
    </row>
    <row r="725" customFormat="false" ht="15.75" hidden="false" customHeight="true" outlineLevel="0" collapsed="false">
      <c r="E725" s="11"/>
    </row>
    <row r="726" customFormat="false" ht="15.75" hidden="false" customHeight="true" outlineLevel="0" collapsed="false">
      <c r="E726" s="11"/>
    </row>
    <row r="727" customFormat="false" ht="15.75" hidden="false" customHeight="true" outlineLevel="0" collapsed="false">
      <c r="E727" s="11"/>
    </row>
    <row r="728" customFormat="false" ht="15.75" hidden="false" customHeight="true" outlineLevel="0" collapsed="false">
      <c r="E728" s="11"/>
    </row>
    <row r="729" customFormat="false" ht="15.75" hidden="false" customHeight="true" outlineLevel="0" collapsed="false">
      <c r="E729" s="11"/>
    </row>
    <row r="730" customFormat="false" ht="15.75" hidden="false" customHeight="true" outlineLevel="0" collapsed="false">
      <c r="E730" s="11"/>
    </row>
    <row r="731" customFormat="false" ht="15.75" hidden="false" customHeight="true" outlineLevel="0" collapsed="false">
      <c r="E731" s="11"/>
    </row>
    <row r="732" customFormat="false" ht="15.75" hidden="false" customHeight="true" outlineLevel="0" collapsed="false">
      <c r="E732" s="11"/>
    </row>
    <row r="733" customFormat="false" ht="15.75" hidden="false" customHeight="true" outlineLevel="0" collapsed="false">
      <c r="E733" s="11"/>
    </row>
    <row r="734" customFormat="false" ht="15.75" hidden="false" customHeight="true" outlineLevel="0" collapsed="false">
      <c r="E734" s="11"/>
    </row>
    <row r="735" customFormat="false" ht="15.75" hidden="false" customHeight="true" outlineLevel="0" collapsed="false">
      <c r="E735" s="11"/>
    </row>
    <row r="736" customFormat="false" ht="15.75" hidden="false" customHeight="true" outlineLevel="0" collapsed="false">
      <c r="E736" s="11"/>
    </row>
    <row r="737" customFormat="false" ht="15.75" hidden="false" customHeight="true" outlineLevel="0" collapsed="false">
      <c r="E737" s="11"/>
    </row>
    <row r="738" customFormat="false" ht="15.75" hidden="false" customHeight="true" outlineLevel="0" collapsed="false">
      <c r="E738" s="11"/>
    </row>
    <row r="739" customFormat="false" ht="15.75" hidden="false" customHeight="true" outlineLevel="0" collapsed="false">
      <c r="E739" s="11"/>
    </row>
    <row r="740" customFormat="false" ht="15.75" hidden="false" customHeight="true" outlineLevel="0" collapsed="false">
      <c r="E740" s="11"/>
    </row>
    <row r="741" customFormat="false" ht="15.75" hidden="false" customHeight="true" outlineLevel="0" collapsed="false">
      <c r="E741" s="11"/>
    </row>
    <row r="742" customFormat="false" ht="15.75" hidden="false" customHeight="true" outlineLevel="0" collapsed="false">
      <c r="E742" s="11"/>
    </row>
    <row r="743" customFormat="false" ht="15.75" hidden="false" customHeight="true" outlineLevel="0" collapsed="false">
      <c r="E743" s="11"/>
    </row>
    <row r="744" customFormat="false" ht="15.75" hidden="false" customHeight="true" outlineLevel="0" collapsed="false">
      <c r="E744" s="11"/>
    </row>
    <row r="745" customFormat="false" ht="15.75" hidden="false" customHeight="true" outlineLevel="0" collapsed="false">
      <c r="E745" s="11"/>
    </row>
    <row r="746" customFormat="false" ht="15.75" hidden="false" customHeight="true" outlineLevel="0" collapsed="false">
      <c r="E746" s="11"/>
    </row>
    <row r="747" customFormat="false" ht="15.75" hidden="false" customHeight="true" outlineLevel="0" collapsed="false">
      <c r="E747" s="11"/>
    </row>
    <row r="748" customFormat="false" ht="15.75" hidden="false" customHeight="true" outlineLevel="0" collapsed="false">
      <c r="E748" s="11"/>
    </row>
    <row r="749" customFormat="false" ht="15.75" hidden="false" customHeight="true" outlineLevel="0" collapsed="false">
      <c r="E749" s="11"/>
    </row>
    <row r="750" customFormat="false" ht="15.75" hidden="false" customHeight="true" outlineLevel="0" collapsed="false">
      <c r="E750" s="11"/>
    </row>
    <row r="751" customFormat="false" ht="15.75" hidden="false" customHeight="true" outlineLevel="0" collapsed="false">
      <c r="E751" s="11"/>
    </row>
    <row r="752" customFormat="false" ht="15.75" hidden="false" customHeight="true" outlineLevel="0" collapsed="false">
      <c r="E752" s="11"/>
    </row>
    <row r="753" customFormat="false" ht="15.75" hidden="false" customHeight="true" outlineLevel="0" collapsed="false">
      <c r="E753" s="11"/>
    </row>
    <row r="754" customFormat="false" ht="15.75" hidden="false" customHeight="true" outlineLevel="0" collapsed="false">
      <c r="E754" s="11"/>
    </row>
    <row r="755" customFormat="false" ht="15.75" hidden="false" customHeight="true" outlineLevel="0" collapsed="false">
      <c r="E755" s="11"/>
    </row>
    <row r="756" customFormat="false" ht="15.75" hidden="false" customHeight="true" outlineLevel="0" collapsed="false">
      <c r="E756" s="11"/>
    </row>
    <row r="757" customFormat="false" ht="15.75" hidden="false" customHeight="true" outlineLevel="0" collapsed="false">
      <c r="E757" s="11"/>
    </row>
    <row r="758" customFormat="false" ht="15.75" hidden="false" customHeight="true" outlineLevel="0" collapsed="false">
      <c r="E758" s="11"/>
    </row>
    <row r="759" customFormat="false" ht="15.75" hidden="false" customHeight="true" outlineLevel="0" collapsed="false">
      <c r="E759" s="11"/>
    </row>
    <row r="760" customFormat="false" ht="15.75" hidden="false" customHeight="true" outlineLevel="0" collapsed="false">
      <c r="E760" s="11"/>
    </row>
    <row r="761" customFormat="false" ht="15.75" hidden="false" customHeight="true" outlineLevel="0" collapsed="false">
      <c r="E761" s="11"/>
    </row>
    <row r="762" customFormat="false" ht="15.75" hidden="false" customHeight="true" outlineLevel="0" collapsed="false">
      <c r="E762" s="11"/>
    </row>
    <row r="763" customFormat="false" ht="15.75" hidden="false" customHeight="true" outlineLevel="0" collapsed="false">
      <c r="E763" s="11"/>
    </row>
    <row r="764" customFormat="false" ht="15.75" hidden="false" customHeight="true" outlineLevel="0" collapsed="false">
      <c r="E764" s="11"/>
    </row>
    <row r="765" customFormat="false" ht="15.75" hidden="false" customHeight="true" outlineLevel="0" collapsed="false">
      <c r="E765" s="11"/>
    </row>
    <row r="766" customFormat="false" ht="15.75" hidden="false" customHeight="true" outlineLevel="0" collapsed="false">
      <c r="E766" s="11"/>
    </row>
    <row r="767" customFormat="false" ht="15.75" hidden="false" customHeight="true" outlineLevel="0" collapsed="false">
      <c r="E767" s="11"/>
    </row>
    <row r="768" customFormat="false" ht="15.75" hidden="false" customHeight="true" outlineLevel="0" collapsed="false">
      <c r="E768" s="11"/>
    </row>
    <row r="769" customFormat="false" ht="15.75" hidden="false" customHeight="true" outlineLevel="0" collapsed="false">
      <c r="E769" s="11"/>
    </row>
    <row r="770" customFormat="false" ht="15.75" hidden="false" customHeight="true" outlineLevel="0" collapsed="false">
      <c r="E770" s="11"/>
    </row>
    <row r="771" customFormat="false" ht="15.75" hidden="false" customHeight="true" outlineLevel="0" collapsed="false">
      <c r="E771" s="11"/>
    </row>
    <row r="772" customFormat="false" ht="15.75" hidden="false" customHeight="true" outlineLevel="0" collapsed="false">
      <c r="E772" s="11"/>
    </row>
    <row r="773" customFormat="false" ht="15.75" hidden="false" customHeight="true" outlineLevel="0" collapsed="false">
      <c r="E773" s="11"/>
    </row>
    <row r="774" customFormat="false" ht="15.75" hidden="false" customHeight="true" outlineLevel="0" collapsed="false">
      <c r="E774" s="11"/>
    </row>
    <row r="775" customFormat="false" ht="15.75" hidden="false" customHeight="true" outlineLevel="0" collapsed="false">
      <c r="E775" s="11"/>
    </row>
    <row r="776" customFormat="false" ht="15.75" hidden="false" customHeight="true" outlineLevel="0" collapsed="false">
      <c r="E776" s="11"/>
    </row>
    <row r="777" customFormat="false" ht="15.75" hidden="false" customHeight="true" outlineLevel="0" collapsed="false">
      <c r="E777" s="11"/>
    </row>
    <row r="778" customFormat="false" ht="15.75" hidden="false" customHeight="true" outlineLevel="0" collapsed="false">
      <c r="E778" s="11"/>
    </row>
    <row r="779" customFormat="false" ht="15.75" hidden="false" customHeight="true" outlineLevel="0" collapsed="false">
      <c r="E779" s="11"/>
    </row>
    <row r="780" customFormat="false" ht="15.75" hidden="false" customHeight="true" outlineLevel="0" collapsed="false">
      <c r="E780" s="11"/>
    </row>
    <row r="781" customFormat="false" ht="15.75" hidden="false" customHeight="true" outlineLevel="0" collapsed="false">
      <c r="E781" s="11"/>
    </row>
    <row r="782" customFormat="false" ht="15.75" hidden="false" customHeight="true" outlineLevel="0" collapsed="false">
      <c r="E782" s="11"/>
    </row>
    <row r="783" customFormat="false" ht="15.75" hidden="false" customHeight="true" outlineLevel="0" collapsed="false">
      <c r="E783" s="11"/>
    </row>
    <row r="784" customFormat="false" ht="15.75" hidden="false" customHeight="true" outlineLevel="0" collapsed="false">
      <c r="E784" s="11"/>
    </row>
    <row r="785" customFormat="false" ht="15.75" hidden="false" customHeight="true" outlineLevel="0" collapsed="false">
      <c r="E785" s="11"/>
    </row>
    <row r="786" customFormat="false" ht="15.75" hidden="false" customHeight="true" outlineLevel="0" collapsed="false">
      <c r="E786" s="11"/>
    </row>
    <row r="787" customFormat="false" ht="15.75" hidden="false" customHeight="true" outlineLevel="0" collapsed="false">
      <c r="E787" s="11"/>
    </row>
    <row r="788" customFormat="false" ht="15.75" hidden="false" customHeight="true" outlineLevel="0" collapsed="false">
      <c r="E788" s="11"/>
    </row>
    <row r="789" customFormat="false" ht="15.75" hidden="false" customHeight="true" outlineLevel="0" collapsed="false">
      <c r="E789" s="11"/>
    </row>
    <row r="790" customFormat="false" ht="15.75" hidden="false" customHeight="true" outlineLevel="0" collapsed="false">
      <c r="E790" s="11"/>
    </row>
    <row r="791" customFormat="false" ht="15.75" hidden="false" customHeight="true" outlineLevel="0" collapsed="false">
      <c r="E791" s="11"/>
    </row>
    <row r="792" customFormat="false" ht="15.75" hidden="false" customHeight="true" outlineLevel="0" collapsed="false">
      <c r="E792" s="11"/>
    </row>
    <row r="793" customFormat="false" ht="15.75" hidden="false" customHeight="true" outlineLevel="0" collapsed="false">
      <c r="E793" s="11"/>
    </row>
    <row r="794" customFormat="false" ht="15.75" hidden="false" customHeight="true" outlineLevel="0" collapsed="false">
      <c r="E794" s="11"/>
    </row>
    <row r="795" customFormat="false" ht="15.75" hidden="false" customHeight="true" outlineLevel="0" collapsed="false">
      <c r="E795" s="11"/>
    </row>
    <row r="796" customFormat="false" ht="15.75" hidden="false" customHeight="true" outlineLevel="0" collapsed="false">
      <c r="E796" s="11"/>
    </row>
    <row r="797" customFormat="false" ht="15.75" hidden="false" customHeight="true" outlineLevel="0" collapsed="false">
      <c r="E797" s="11"/>
    </row>
    <row r="798" customFormat="false" ht="15.75" hidden="false" customHeight="true" outlineLevel="0" collapsed="false">
      <c r="E798" s="11"/>
    </row>
    <row r="799" customFormat="false" ht="15.75" hidden="false" customHeight="true" outlineLevel="0" collapsed="false">
      <c r="E799" s="11"/>
    </row>
    <row r="800" customFormat="false" ht="15.75" hidden="false" customHeight="true" outlineLevel="0" collapsed="false">
      <c r="E800" s="11"/>
    </row>
    <row r="801" customFormat="false" ht="15.75" hidden="false" customHeight="true" outlineLevel="0" collapsed="false">
      <c r="E801" s="11"/>
    </row>
    <row r="802" customFormat="false" ht="15.75" hidden="false" customHeight="true" outlineLevel="0" collapsed="false">
      <c r="E802" s="11"/>
    </row>
    <row r="803" customFormat="false" ht="15.75" hidden="false" customHeight="true" outlineLevel="0" collapsed="false">
      <c r="E803" s="11"/>
    </row>
    <row r="804" customFormat="false" ht="15.75" hidden="false" customHeight="true" outlineLevel="0" collapsed="false">
      <c r="E804" s="11"/>
    </row>
    <row r="805" customFormat="false" ht="15.75" hidden="false" customHeight="true" outlineLevel="0" collapsed="false">
      <c r="E805" s="11"/>
    </row>
    <row r="806" customFormat="false" ht="15.75" hidden="false" customHeight="true" outlineLevel="0" collapsed="false">
      <c r="E806" s="11"/>
    </row>
    <row r="807" customFormat="false" ht="15.75" hidden="false" customHeight="true" outlineLevel="0" collapsed="false">
      <c r="E807" s="11"/>
    </row>
    <row r="808" customFormat="false" ht="15.75" hidden="false" customHeight="true" outlineLevel="0" collapsed="false">
      <c r="E808" s="11"/>
    </row>
    <row r="809" customFormat="false" ht="15.75" hidden="false" customHeight="true" outlineLevel="0" collapsed="false">
      <c r="E809" s="11"/>
    </row>
    <row r="810" customFormat="false" ht="15.75" hidden="false" customHeight="true" outlineLevel="0" collapsed="false">
      <c r="E810" s="11"/>
    </row>
    <row r="811" customFormat="false" ht="15.75" hidden="false" customHeight="true" outlineLevel="0" collapsed="false">
      <c r="E811" s="11"/>
    </row>
    <row r="812" customFormat="false" ht="15.75" hidden="false" customHeight="true" outlineLevel="0" collapsed="false">
      <c r="E812" s="11"/>
    </row>
    <row r="813" customFormat="false" ht="15.75" hidden="false" customHeight="true" outlineLevel="0" collapsed="false">
      <c r="E813" s="11"/>
    </row>
    <row r="814" customFormat="false" ht="15.75" hidden="false" customHeight="true" outlineLevel="0" collapsed="false">
      <c r="E814" s="11"/>
    </row>
    <row r="815" customFormat="false" ht="15.75" hidden="false" customHeight="true" outlineLevel="0" collapsed="false">
      <c r="E815" s="11"/>
    </row>
    <row r="816" customFormat="false" ht="15.75" hidden="false" customHeight="true" outlineLevel="0" collapsed="false">
      <c r="E816" s="11"/>
    </row>
    <row r="817" customFormat="false" ht="15.75" hidden="false" customHeight="true" outlineLevel="0" collapsed="false">
      <c r="E817" s="11"/>
    </row>
    <row r="818" customFormat="false" ht="15.75" hidden="false" customHeight="true" outlineLevel="0" collapsed="false">
      <c r="E818" s="11"/>
    </row>
    <row r="819" customFormat="false" ht="15.75" hidden="false" customHeight="true" outlineLevel="0" collapsed="false">
      <c r="E819" s="11"/>
    </row>
    <row r="820" customFormat="false" ht="15.75" hidden="false" customHeight="true" outlineLevel="0" collapsed="false">
      <c r="E820" s="11"/>
    </row>
    <row r="821" customFormat="false" ht="15.75" hidden="false" customHeight="true" outlineLevel="0" collapsed="false">
      <c r="E821" s="11"/>
    </row>
    <row r="822" customFormat="false" ht="15.75" hidden="false" customHeight="true" outlineLevel="0" collapsed="false">
      <c r="E822" s="11"/>
    </row>
    <row r="823" customFormat="false" ht="15.75" hidden="false" customHeight="true" outlineLevel="0" collapsed="false">
      <c r="E823" s="11"/>
    </row>
    <row r="824" customFormat="false" ht="15.75" hidden="false" customHeight="true" outlineLevel="0" collapsed="false">
      <c r="E824" s="11"/>
    </row>
    <row r="825" customFormat="false" ht="15.75" hidden="false" customHeight="true" outlineLevel="0" collapsed="false">
      <c r="E825" s="11"/>
    </row>
    <row r="826" customFormat="false" ht="15.75" hidden="false" customHeight="true" outlineLevel="0" collapsed="false">
      <c r="E826" s="11"/>
    </row>
    <row r="827" customFormat="false" ht="15.75" hidden="false" customHeight="true" outlineLevel="0" collapsed="false">
      <c r="E827" s="11"/>
    </row>
    <row r="828" customFormat="false" ht="15.75" hidden="false" customHeight="true" outlineLevel="0" collapsed="false">
      <c r="E828" s="11"/>
    </row>
    <row r="829" customFormat="false" ht="15.75" hidden="false" customHeight="true" outlineLevel="0" collapsed="false">
      <c r="E829" s="11"/>
    </row>
    <row r="830" customFormat="false" ht="15.75" hidden="false" customHeight="true" outlineLevel="0" collapsed="false">
      <c r="E830" s="11"/>
    </row>
    <row r="831" customFormat="false" ht="15.75" hidden="false" customHeight="true" outlineLevel="0" collapsed="false">
      <c r="E831" s="11"/>
    </row>
    <row r="832" customFormat="false" ht="15.75" hidden="false" customHeight="true" outlineLevel="0" collapsed="false">
      <c r="E832" s="11"/>
    </row>
    <row r="833" customFormat="false" ht="15.75" hidden="false" customHeight="true" outlineLevel="0" collapsed="false">
      <c r="E833" s="11"/>
    </row>
    <row r="834" customFormat="false" ht="15.75" hidden="false" customHeight="true" outlineLevel="0" collapsed="false">
      <c r="E834" s="11"/>
    </row>
    <row r="835" customFormat="false" ht="15.75" hidden="false" customHeight="true" outlineLevel="0" collapsed="false">
      <c r="E835" s="11"/>
    </row>
    <row r="836" customFormat="false" ht="15.75" hidden="false" customHeight="true" outlineLevel="0" collapsed="false">
      <c r="E836" s="11"/>
    </row>
    <row r="837" customFormat="false" ht="15.75" hidden="false" customHeight="true" outlineLevel="0" collapsed="false">
      <c r="E837" s="11"/>
    </row>
    <row r="838" customFormat="false" ht="15.75" hidden="false" customHeight="true" outlineLevel="0" collapsed="false">
      <c r="E838" s="11"/>
    </row>
    <row r="839" customFormat="false" ht="15.75" hidden="false" customHeight="true" outlineLevel="0" collapsed="false">
      <c r="E839" s="11"/>
    </row>
    <row r="840" customFormat="false" ht="15.75" hidden="false" customHeight="true" outlineLevel="0" collapsed="false">
      <c r="E840" s="11"/>
    </row>
    <row r="841" customFormat="false" ht="15.75" hidden="false" customHeight="true" outlineLevel="0" collapsed="false">
      <c r="E841" s="11"/>
    </row>
    <row r="842" customFormat="false" ht="15.75" hidden="false" customHeight="true" outlineLevel="0" collapsed="false">
      <c r="E842" s="11"/>
    </row>
    <row r="843" customFormat="false" ht="15.75" hidden="false" customHeight="true" outlineLevel="0" collapsed="false">
      <c r="E843" s="11"/>
    </row>
    <row r="844" customFormat="false" ht="15.75" hidden="false" customHeight="true" outlineLevel="0" collapsed="false">
      <c r="E844" s="11"/>
    </row>
    <row r="845" customFormat="false" ht="15.75" hidden="false" customHeight="true" outlineLevel="0" collapsed="false">
      <c r="E845" s="11"/>
    </row>
    <row r="846" customFormat="false" ht="15.75" hidden="false" customHeight="true" outlineLevel="0" collapsed="false">
      <c r="E846" s="11"/>
    </row>
    <row r="847" customFormat="false" ht="15.75" hidden="false" customHeight="true" outlineLevel="0" collapsed="false">
      <c r="E847" s="11"/>
    </row>
    <row r="848" customFormat="false" ht="15.75" hidden="false" customHeight="true" outlineLevel="0" collapsed="false">
      <c r="E848" s="11"/>
    </row>
    <row r="849" customFormat="false" ht="15.75" hidden="false" customHeight="true" outlineLevel="0" collapsed="false">
      <c r="E849" s="11"/>
    </row>
    <row r="850" customFormat="false" ht="15.75" hidden="false" customHeight="true" outlineLevel="0" collapsed="false">
      <c r="E850" s="11"/>
    </row>
    <row r="851" customFormat="false" ht="15.75" hidden="false" customHeight="true" outlineLevel="0" collapsed="false">
      <c r="E851" s="11"/>
    </row>
    <row r="852" customFormat="false" ht="15.75" hidden="false" customHeight="true" outlineLevel="0" collapsed="false">
      <c r="E852" s="11"/>
    </row>
    <row r="853" customFormat="false" ht="15.75" hidden="false" customHeight="true" outlineLevel="0" collapsed="false">
      <c r="E853" s="11"/>
    </row>
    <row r="854" customFormat="false" ht="15.75" hidden="false" customHeight="true" outlineLevel="0" collapsed="false">
      <c r="E854" s="11"/>
    </row>
    <row r="855" customFormat="false" ht="15.75" hidden="false" customHeight="true" outlineLevel="0" collapsed="false">
      <c r="E855" s="11"/>
    </row>
    <row r="856" customFormat="false" ht="15.75" hidden="false" customHeight="true" outlineLevel="0" collapsed="false">
      <c r="E856" s="11"/>
    </row>
    <row r="857" customFormat="false" ht="15.75" hidden="false" customHeight="true" outlineLevel="0" collapsed="false">
      <c r="E857" s="11"/>
    </row>
    <row r="858" customFormat="false" ht="15.75" hidden="false" customHeight="true" outlineLevel="0" collapsed="false">
      <c r="E858" s="11"/>
    </row>
    <row r="859" customFormat="false" ht="15.75" hidden="false" customHeight="true" outlineLevel="0" collapsed="false">
      <c r="E859" s="11"/>
    </row>
    <row r="860" customFormat="false" ht="15.75" hidden="false" customHeight="true" outlineLevel="0" collapsed="false">
      <c r="E860" s="11"/>
    </row>
    <row r="861" customFormat="false" ht="15.75" hidden="false" customHeight="true" outlineLevel="0" collapsed="false">
      <c r="E861" s="11"/>
    </row>
    <row r="862" customFormat="false" ht="15.75" hidden="false" customHeight="true" outlineLevel="0" collapsed="false">
      <c r="E862" s="11"/>
    </row>
    <row r="863" customFormat="false" ht="15.75" hidden="false" customHeight="true" outlineLevel="0" collapsed="false">
      <c r="E863" s="11"/>
    </row>
    <row r="864" customFormat="false" ht="15.75" hidden="false" customHeight="true" outlineLevel="0" collapsed="false">
      <c r="E864" s="11"/>
    </row>
    <row r="865" customFormat="false" ht="15.75" hidden="false" customHeight="true" outlineLevel="0" collapsed="false">
      <c r="E865" s="11"/>
    </row>
    <row r="866" customFormat="false" ht="15.75" hidden="false" customHeight="true" outlineLevel="0" collapsed="false">
      <c r="E866" s="11"/>
    </row>
    <row r="867" customFormat="false" ht="15.75" hidden="false" customHeight="true" outlineLevel="0" collapsed="false">
      <c r="E867" s="11"/>
    </row>
    <row r="868" customFormat="false" ht="15.75" hidden="false" customHeight="true" outlineLevel="0" collapsed="false">
      <c r="E868" s="11"/>
    </row>
    <row r="869" customFormat="false" ht="15.75" hidden="false" customHeight="true" outlineLevel="0" collapsed="false">
      <c r="E869" s="11"/>
    </row>
    <row r="870" customFormat="false" ht="15.75" hidden="false" customHeight="true" outlineLevel="0" collapsed="false">
      <c r="E870" s="11"/>
    </row>
    <row r="871" customFormat="false" ht="15.75" hidden="false" customHeight="true" outlineLevel="0" collapsed="false">
      <c r="E871" s="11"/>
    </row>
    <row r="872" customFormat="false" ht="15.75" hidden="false" customHeight="true" outlineLevel="0" collapsed="false">
      <c r="E872" s="11"/>
    </row>
    <row r="873" customFormat="false" ht="15.75" hidden="false" customHeight="true" outlineLevel="0" collapsed="false">
      <c r="E873" s="11"/>
    </row>
    <row r="874" customFormat="false" ht="15.75" hidden="false" customHeight="true" outlineLevel="0" collapsed="false">
      <c r="E874" s="11"/>
    </row>
    <row r="875" customFormat="false" ht="15.75" hidden="false" customHeight="true" outlineLevel="0" collapsed="false">
      <c r="E875" s="11"/>
    </row>
    <row r="876" customFormat="false" ht="15.75" hidden="false" customHeight="true" outlineLevel="0" collapsed="false">
      <c r="E876" s="11"/>
    </row>
    <row r="877" customFormat="false" ht="15.75" hidden="false" customHeight="true" outlineLevel="0" collapsed="false">
      <c r="E877" s="11"/>
    </row>
    <row r="878" customFormat="false" ht="15.75" hidden="false" customHeight="true" outlineLevel="0" collapsed="false">
      <c r="E878" s="11"/>
    </row>
    <row r="879" customFormat="false" ht="15.75" hidden="false" customHeight="true" outlineLevel="0" collapsed="false">
      <c r="E879" s="11"/>
    </row>
    <row r="880" customFormat="false" ht="15.75" hidden="false" customHeight="true" outlineLevel="0" collapsed="false">
      <c r="E880" s="11"/>
    </row>
    <row r="881" customFormat="false" ht="15.75" hidden="false" customHeight="true" outlineLevel="0" collapsed="false">
      <c r="E881" s="11"/>
    </row>
    <row r="882" customFormat="false" ht="15.75" hidden="false" customHeight="true" outlineLevel="0" collapsed="false">
      <c r="E882" s="11"/>
    </row>
    <row r="883" customFormat="false" ht="15.75" hidden="false" customHeight="true" outlineLevel="0" collapsed="false">
      <c r="E883" s="11"/>
    </row>
    <row r="884" customFormat="false" ht="15.75" hidden="false" customHeight="true" outlineLevel="0" collapsed="false">
      <c r="E884" s="11"/>
    </row>
    <row r="885" customFormat="false" ht="15.75" hidden="false" customHeight="true" outlineLevel="0" collapsed="false">
      <c r="E885" s="11"/>
    </row>
    <row r="886" customFormat="false" ht="15.75" hidden="false" customHeight="true" outlineLevel="0" collapsed="false">
      <c r="E886" s="11"/>
    </row>
    <row r="887" customFormat="false" ht="15.75" hidden="false" customHeight="true" outlineLevel="0" collapsed="false">
      <c r="E887" s="11"/>
    </row>
    <row r="888" customFormat="false" ht="15.75" hidden="false" customHeight="true" outlineLevel="0" collapsed="false">
      <c r="E888" s="11"/>
    </row>
    <row r="889" customFormat="false" ht="15.75" hidden="false" customHeight="true" outlineLevel="0" collapsed="false">
      <c r="E889" s="11"/>
    </row>
    <row r="890" customFormat="false" ht="15.75" hidden="false" customHeight="true" outlineLevel="0" collapsed="false">
      <c r="E890" s="11"/>
    </row>
    <row r="891" customFormat="false" ht="15.75" hidden="false" customHeight="true" outlineLevel="0" collapsed="false">
      <c r="E891" s="11"/>
    </row>
    <row r="892" customFormat="false" ht="15.75" hidden="false" customHeight="true" outlineLevel="0" collapsed="false">
      <c r="E892" s="11"/>
    </row>
    <row r="893" customFormat="false" ht="15.75" hidden="false" customHeight="true" outlineLevel="0" collapsed="false">
      <c r="E893" s="11"/>
    </row>
    <row r="894" customFormat="false" ht="15.75" hidden="false" customHeight="true" outlineLevel="0" collapsed="false">
      <c r="E894" s="11"/>
    </row>
    <row r="895" customFormat="false" ht="15.75" hidden="false" customHeight="true" outlineLevel="0" collapsed="false">
      <c r="E895" s="11"/>
    </row>
    <row r="896" customFormat="false" ht="15.75" hidden="false" customHeight="true" outlineLevel="0" collapsed="false">
      <c r="E896" s="11"/>
    </row>
    <row r="897" customFormat="false" ht="15.75" hidden="false" customHeight="true" outlineLevel="0" collapsed="false">
      <c r="E897" s="11"/>
    </row>
    <row r="898" customFormat="false" ht="15.75" hidden="false" customHeight="true" outlineLevel="0" collapsed="false">
      <c r="E898" s="11"/>
    </row>
    <row r="899" customFormat="false" ht="15.75" hidden="false" customHeight="true" outlineLevel="0" collapsed="false">
      <c r="E899" s="11"/>
    </row>
    <row r="900" customFormat="false" ht="15.75" hidden="false" customHeight="true" outlineLevel="0" collapsed="false">
      <c r="E900" s="11"/>
    </row>
    <row r="901" customFormat="false" ht="15.75" hidden="false" customHeight="true" outlineLevel="0" collapsed="false">
      <c r="E901" s="11"/>
    </row>
    <row r="902" customFormat="false" ht="15.75" hidden="false" customHeight="true" outlineLevel="0" collapsed="false">
      <c r="E902" s="11"/>
    </row>
    <row r="903" customFormat="false" ht="15.75" hidden="false" customHeight="true" outlineLevel="0" collapsed="false">
      <c r="E903" s="11"/>
    </row>
    <row r="904" customFormat="false" ht="15.75" hidden="false" customHeight="true" outlineLevel="0" collapsed="false">
      <c r="E904" s="11"/>
    </row>
    <row r="905" customFormat="false" ht="15.75" hidden="false" customHeight="true" outlineLevel="0" collapsed="false">
      <c r="E905" s="11"/>
    </row>
    <row r="906" customFormat="false" ht="15.75" hidden="false" customHeight="true" outlineLevel="0" collapsed="false">
      <c r="E906" s="11"/>
    </row>
    <row r="907" customFormat="false" ht="15.75" hidden="false" customHeight="true" outlineLevel="0" collapsed="false">
      <c r="E907" s="11"/>
    </row>
    <row r="908" customFormat="false" ht="15.75" hidden="false" customHeight="true" outlineLevel="0" collapsed="false">
      <c r="E908" s="11"/>
    </row>
    <row r="909" customFormat="false" ht="15.75" hidden="false" customHeight="true" outlineLevel="0" collapsed="false">
      <c r="E909" s="11"/>
    </row>
    <row r="910" customFormat="false" ht="15.75" hidden="false" customHeight="true" outlineLevel="0" collapsed="false">
      <c r="E910" s="11"/>
    </row>
    <row r="911" customFormat="false" ht="15.75" hidden="false" customHeight="true" outlineLevel="0" collapsed="false">
      <c r="E911" s="11"/>
    </row>
    <row r="912" customFormat="false" ht="15.75" hidden="false" customHeight="true" outlineLevel="0" collapsed="false">
      <c r="E912" s="11"/>
    </row>
    <row r="913" customFormat="false" ht="15.75" hidden="false" customHeight="true" outlineLevel="0" collapsed="false">
      <c r="E913" s="11"/>
    </row>
    <row r="914" customFormat="false" ht="15.75" hidden="false" customHeight="true" outlineLevel="0" collapsed="false">
      <c r="E914" s="11"/>
    </row>
    <row r="915" customFormat="false" ht="15.75" hidden="false" customHeight="true" outlineLevel="0" collapsed="false">
      <c r="E915" s="11"/>
    </row>
    <row r="916" customFormat="false" ht="15.75" hidden="false" customHeight="true" outlineLevel="0" collapsed="false">
      <c r="E916" s="11"/>
    </row>
    <row r="917" customFormat="false" ht="15.75" hidden="false" customHeight="true" outlineLevel="0" collapsed="false">
      <c r="E917" s="11"/>
    </row>
    <row r="918" customFormat="false" ht="15.75" hidden="false" customHeight="true" outlineLevel="0" collapsed="false">
      <c r="E918" s="11"/>
    </row>
    <row r="919" customFormat="false" ht="15.75" hidden="false" customHeight="true" outlineLevel="0" collapsed="false">
      <c r="E919" s="11"/>
    </row>
    <row r="920" customFormat="false" ht="15.75" hidden="false" customHeight="true" outlineLevel="0" collapsed="false">
      <c r="E920" s="11"/>
    </row>
    <row r="921" customFormat="false" ht="15.75" hidden="false" customHeight="true" outlineLevel="0" collapsed="false">
      <c r="E921" s="11"/>
    </row>
    <row r="922" customFormat="false" ht="15.75" hidden="false" customHeight="true" outlineLevel="0" collapsed="false">
      <c r="E922" s="11"/>
    </row>
    <row r="923" customFormat="false" ht="15.75" hidden="false" customHeight="true" outlineLevel="0" collapsed="false">
      <c r="E923" s="11"/>
    </row>
    <row r="924" customFormat="false" ht="15.75" hidden="false" customHeight="true" outlineLevel="0" collapsed="false">
      <c r="E924" s="11"/>
    </row>
    <row r="925" customFormat="false" ht="15.75" hidden="false" customHeight="true" outlineLevel="0" collapsed="false">
      <c r="E925" s="11"/>
    </row>
    <row r="926" customFormat="false" ht="15.75" hidden="false" customHeight="true" outlineLevel="0" collapsed="false">
      <c r="E926" s="11"/>
    </row>
    <row r="927" customFormat="false" ht="15.75" hidden="false" customHeight="true" outlineLevel="0" collapsed="false">
      <c r="E927" s="11"/>
    </row>
    <row r="928" customFormat="false" ht="15.75" hidden="false" customHeight="true" outlineLevel="0" collapsed="false">
      <c r="E928" s="11"/>
    </row>
    <row r="929" customFormat="false" ht="15.75" hidden="false" customHeight="true" outlineLevel="0" collapsed="false">
      <c r="E929" s="11"/>
    </row>
    <row r="930" customFormat="false" ht="15.75" hidden="false" customHeight="true" outlineLevel="0" collapsed="false">
      <c r="E930" s="11"/>
    </row>
    <row r="931" customFormat="false" ht="15.75" hidden="false" customHeight="true" outlineLevel="0" collapsed="false">
      <c r="E931" s="11"/>
    </row>
    <row r="932" customFormat="false" ht="15.75" hidden="false" customHeight="true" outlineLevel="0" collapsed="false">
      <c r="E932" s="11"/>
    </row>
    <row r="933" customFormat="false" ht="15.75" hidden="false" customHeight="true" outlineLevel="0" collapsed="false">
      <c r="E933" s="11"/>
    </row>
    <row r="934" customFormat="false" ht="15.75" hidden="false" customHeight="true" outlineLevel="0" collapsed="false">
      <c r="E934" s="11"/>
    </row>
    <row r="935" customFormat="false" ht="15.75" hidden="false" customHeight="true" outlineLevel="0" collapsed="false">
      <c r="E935" s="11"/>
    </row>
    <row r="936" customFormat="false" ht="15.75" hidden="false" customHeight="true" outlineLevel="0" collapsed="false">
      <c r="E936" s="11"/>
    </row>
    <row r="937" customFormat="false" ht="15.75" hidden="false" customHeight="true" outlineLevel="0" collapsed="false">
      <c r="E937" s="11"/>
    </row>
    <row r="938" customFormat="false" ht="15.75" hidden="false" customHeight="true" outlineLevel="0" collapsed="false">
      <c r="E938" s="11"/>
    </row>
    <row r="939" customFormat="false" ht="15.75" hidden="false" customHeight="true" outlineLevel="0" collapsed="false">
      <c r="E939" s="11"/>
    </row>
    <row r="940" customFormat="false" ht="15.75" hidden="false" customHeight="true" outlineLevel="0" collapsed="false">
      <c r="E940" s="11"/>
    </row>
    <row r="941" customFormat="false" ht="15.75" hidden="false" customHeight="true" outlineLevel="0" collapsed="false">
      <c r="E941" s="11"/>
    </row>
    <row r="942" customFormat="false" ht="15.75" hidden="false" customHeight="true" outlineLevel="0" collapsed="false">
      <c r="E942" s="11"/>
    </row>
    <row r="943" customFormat="false" ht="15.75" hidden="false" customHeight="true" outlineLevel="0" collapsed="false">
      <c r="E943" s="11"/>
    </row>
    <row r="944" customFormat="false" ht="15.75" hidden="false" customHeight="true" outlineLevel="0" collapsed="false">
      <c r="E944" s="11"/>
    </row>
    <row r="945" customFormat="false" ht="15.75" hidden="false" customHeight="true" outlineLevel="0" collapsed="false">
      <c r="E945" s="11"/>
    </row>
    <row r="946" customFormat="false" ht="15.75" hidden="false" customHeight="true" outlineLevel="0" collapsed="false">
      <c r="E946" s="11"/>
    </row>
    <row r="947" customFormat="false" ht="15.75" hidden="false" customHeight="true" outlineLevel="0" collapsed="false">
      <c r="E947" s="11"/>
    </row>
    <row r="948" customFormat="false" ht="15.75" hidden="false" customHeight="true" outlineLevel="0" collapsed="false">
      <c r="E948" s="11"/>
    </row>
    <row r="949" customFormat="false" ht="15.75" hidden="false" customHeight="true" outlineLevel="0" collapsed="false">
      <c r="E949" s="11"/>
    </row>
    <row r="950" customFormat="false" ht="15.75" hidden="false" customHeight="true" outlineLevel="0" collapsed="false">
      <c r="E950" s="11"/>
    </row>
    <row r="951" customFormat="false" ht="15.75" hidden="false" customHeight="true" outlineLevel="0" collapsed="false">
      <c r="E951" s="11"/>
    </row>
    <row r="952" customFormat="false" ht="15.75" hidden="false" customHeight="true" outlineLevel="0" collapsed="false">
      <c r="E952" s="11"/>
    </row>
    <row r="953" customFormat="false" ht="15.75" hidden="false" customHeight="true" outlineLevel="0" collapsed="false">
      <c r="E953" s="11"/>
    </row>
    <row r="954" customFormat="false" ht="15.75" hidden="false" customHeight="true" outlineLevel="0" collapsed="false">
      <c r="E954" s="11"/>
    </row>
    <row r="955" customFormat="false" ht="15.75" hidden="false" customHeight="true" outlineLevel="0" collapsed="false">
      <c r="E955" s="11"/>
    </row>
    <row r="956" customFormat="false" ht="15.75" hidden="false" customHeight="true" outlineLevel="0" collapsed="false">
      <c r="E956" s="11"/>
    </row>
    <row r="957" customFormat="false" ht="15.75" hidden="false" customHeight="true" outlineLevel="0" collapsed="false">
      <c r="E957" s="11"/>
    </row>
    <row r="958" customFormat="false" ht="15.75" hidden="false" customHeight="true" outlineLevel="0" collapsed="false">
      <c r="E958" s="11"/>
    </row>
    <row r="959" customFormat="false" ht="15.75" hidden="false" customHeight="true" outlineLevel="0" collapsed="false">
      <c r="E959" s="11"/>
    </row>
    <row r="960" customFormat="false" ht="15.75" hidden="false" customHeight="true" outlineLevel="0" collapsed="false">
      <c r="E960" s="11"/>
    </row>
    <row r="961" customFormat="false" ht="15.75" hidden="false" customHeight="true" outlineLevel="0" collapsed="false">
      <c r="E961" s="11"/>
    </row>
    <row r="962" customFormat="false" ht="15.75" hidden="false" customHeight="true" outlineLevel="0" collapsed="false">
      <c r="E962" s="11"/>
    </row>
    <row r="963" customFormat="false" ht="15.75" hidden="false" customHeight="true" outlineLevel="0" collapsed="false">
      <c r="E963" s="11"/>
    </row>
    <row r="964" customFormat="false" ht="15.75" hidden="false" customHeight="true" outlineLevel="0" collapsed="false">
      <c r="E964" s="11"/>
    </row>
    <row r="965" customFormat="false" ht="15.75" hidden="false" customHeight="true" outlineLevel="0" collapsed="false">
      <c r="E965" s="11"/>
    </row>
    <row r="966" customFormat="false" ht="15.75" hidden="false" customHeight="true" outlineLevel="0" collapsed="false">
      <c r="E966" s="11"/>
    </row>
    <row r="967" customFormat="false" ht="15.75" hidden="false" customHeight="true" outlineLevel="0" collapsed="false">
      <c r="E967" s="11"/>
    </row>
    <row r="968" customFormat="false" ht="15.75" hidden="false" customHeight="true" outlineLevel="0" collapsed="false">
      <c r="E968" s="11"/>
    </row>
    <row r="969" customFormat="false" ht="15.75" hidden="false" customHeight="true" outlineLevel="0" collapsed="false">
      <c r="E969" s="11"/>
    </row>
    <row r="970" customFormat="false" ht="15.75" hidden="false" customHeight="true" outlineLevel="0" collapsed="false">
      <c r="E970" s="11"/>
    </row>
    <row r="971" customFormat="false" ht="15.75" hidden="false" customHeight="true" outlineLevel="0" collapsed="false">
      <c r="E971" s="11"/>
    </row>
    <row r="972" customFormat="false" ht="15.75" hidden="false" customHeight="true" outlineLevel="0" collapsed="false">
      <c r="E972" s="11"/>
    </row>
    <row r="973" customFormat="false" ht="15.75" hidden="false" customHeight="true" outlineLevel="0" collapsed="false">
      <c r="E973" s="11"/>
    </row>
    <row r="974" customFormat="false" ht="15.75" hidden="false" customHeight="true" outlineLevel="0" collapsed="false">
      <c r="E974" s="11"/>
    </row>
    <row r="975" customFormat="false" ht="15.75" hidden="false" customHeight="true" outlineLevel="0" collapsed="false">
      <c r="E975" s="11"/>
    </row>
    <row r="976" customFormat="false" ht="15.75" hidden="false" customHeight="true" outlineLevel="0" collapsed="false">
      <c r="E976" s="11"/>
    </row>
    <row r="977" customFormat="false" ht="15.75" hidden="false" customHeight="true" outlineLevel="0" collapsed="false">
      <c r="E977" s="11"/>
    </row>
    <row r="978" customFormat="false" ht="15.75" hidden="false" customHeight="true" outlineLevel="0" collapsed="false">
      <c r="E978" s="11"/>
    </row>
    <row r="979" customFormat="false" ht="15.75" hidden="false" customHeight="true" outlineLevel="0" collapsed="false">
      <c r="E979" s="11"/>
    </row>
    <row r="980" customFormat="false" ht="15.75" hidden="false" customHeight="true" outlineLevel="0" collapsed="false">
      <c r="E980" s="11"/>
    </row>
    <row r="981" customFormat="false" ht="15.75" hidden="false" customHeight="true" outlineLevel="0" collapsed="false">
      <c r="E981" s="11"/>
    </row>
    <row r="982" customFormat="false" ht="15.75" hidden="false" customHeight="true" outlineLevel="0" collapsed="false">
      <c r="E982" s="11"/>
    </row>
    <row r="983" customFormat="false" ht="15.75" hidden="false" customHeight="true" outlineLevel="0" collapsed="false">
      <c r="E983" s="11"/>
    </row>
    <row r="984" customFormat="false" ht="15.75" hidden="false" customHeight="true" outlineLevel="0" collapsed="false">
      <c r="E984" s="11"/>
    </row>
    <row r="985" customFormat="false" ht="15.75" hidden="false" customHeight="true" outlineLevel="0" collapsed="false">
      <c r="E985" s="11"/>
    </row>
    <row r="986" customFormat="false" ht="15.75" hidden="false" customHeight="true" outlineLevel="0" collapsed="false">
      <c r="E986" s="11"/>
    </row>
    <row r="987" customFormat="false" ht="15.75" hidden="false" customHeight="true" outlineLevel="0" collapsed="false">
      <c r="E987" s="11"/>
    </row>
    <row r="988" customFormat="false" ht="15.75" hidden="false" customHeight="true" outlineLevel="0" collapsed="false">
      <c r="E988" s="11"/>
    </row>
    <row r="989" customFormat="false" ht="15.75" hidden="false" customHeight="true" outlineLevel="0" collapsed="false">
      <c r="E989" s="11"/>
    </row>
    <row r="990" customFormat="false" ht="15.75" hidden="false" customHeight="true" outlineLevel="0" collapsed="false">
      <c r="E990" s="11"/>
    </row>
    <row r="991" customFormat="false" ht="15.75" hidden="false" customHeight="true" outlineLevel="0" collapsed="false">
      <c r="E991" s="11"/>
    </row>
    <row r="992" customFormat="false" ht="15.75" hidden="false" customHeight="true" outlineLevel="0" collapsed="false">
      <c r="E992" s="11"/>
    </row>
    <row r="993" customFormat="false" ht="15.75" hidden="false" customHeight="true" outlineLevel="0" collapsed="false">
      <c r="E993" s="11"/>
    </row>
    <row r="994" customFormat="false" ht="15.75" hidden="false" customHeight="true" outlineLevel="0" collapsed="false">
      <c r="E994" s="11"/>
    </row>
    <row r="995" customFormat="false" ht="15.75" hidden="false" customHeight="true" outlineLevel="0" collapsed="false">
      <c r="E995" s="11"/>
    </row>
    <row r="996" customFormat="false" ht="15.75" hidden="false" customHeight="true" outlineLevel="0" collapsed="false">
      <c r="E996" s="11"/>
    </row>
    <row r="997" customFormat="false" ht="15.75" hidden="false" customHeight="true" outlineLevel="0" collapsed="false">
      <c r="E997" s="11"/>
    </row>
    <row r="998" customFormat="false" ht="15.75" hidden="false" customHeight="true" outlineLevel="0" collapsed="false">
      <c r="E998" s="11"/>
    </row>
    <row r="999" customFormat="false" ht="15.75" hidden="false" customHeight="true" outlineLevel="0" collapsed="false">
      <c r="E999" s="11"/>
    </row>
    <row r="1000" customFormat="false" ht="15.75" hidden="false" customHeight="true" outlineLevel="0" collapsed="false">
      <c r="E1000" s="1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12 A1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11.24"/>
    <col collapsed="false" customWidth="true" hidden="false" outlineLevel="0" max="3" min="2" style="0" width="9.14"/>
    <col collapsed="false" customWidth="true" hidden="false" outlineLevel="0" max="4" min="4" style="0" width="10.63"/>
    <col collapsed="false" customWidth="true" hidden="false" outlineLevel="0" max="5" min="5" style="0" width="12"/>
    <col collapsed="false" customWidth="true" hidden="false" outlineLevel="0" max="7" min="6" style="0" width="12.14"/>
    <col collapsed="false" customWidth="true" hidden="false" outlineLevel="0" max="8" min="8" style="0" width="11.76"/>
    <col collapsed="false" customWidth="true" hidden="false" outlineLevel="0" max="9" min="9" style="0" width="9.87"/>
    <col collapsed="false" customWidth="true" hidden="false" outlineLevel="0" max="12" min="10" style="0" width="9.14"/>
    <col collapsed="false" customWidth="true" hidden="false" outlineLevel="0" max="26" min="13" style="0" width="9"/>
  </cols>
  <sheetData>
    <row r="1" customFormat="false" ht="12.75" hidden="false" customHeight="true" outlineLevel="0" collapsed="false">
      <c r="A1" s="15" t="s">
        <v>144</v>
      </c>
      <c r="B1" s="15" t="s">
        <v>147</v>
      </c>
      <c r="C1" s="15" t="s">
        <v>148</v>
      </c>
      <c r="D1" s="16" t="s">
        <v>194</v>
      </c>
      <c r="E1" s="15" t="s">
        <v>146</v>
      </c>
      <c r="F1" s="15" t="s">
        <v>145</v>
      </c>
      <c r="G1" s="15" t="s">
        <v>195</v>
      </c>
      <c r="H1" s="15" t="s">
        <v>196</v>
      </c>
      <c r="I1" s="15" t="s">
        <v>197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12.75" hidden="false" customHeight="true" outlineLevel="0" collapsed="false">
      <c r="A2" s="17" t="n">
        <v>44936</v>
      </c>
      <c r="B2" s="16" t="n">
        <v>16.2</v>
      </c>
      <c r="C2" s="16" t="n">
        <v>12.96</v>
      </c>
      <c r="D2" s="16" t="n">
        <v>16.2</v>
      </c>
      <c r="E2" s="16" t="n">
        <v>3.294</v>
      </c>
      <c r="F2" s="16" t="n">
        <v>0</v>
      </c>
      <c r="G2" s="16" t="n">
        <v>7.25421988901889</v>
      </c>
      <c r="H2" s="16" t="n">
        <v>20.1602198890189</v>
      </c>
      <c r="I2" s="16" t="n">
        <v>7.20021988901889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customFormat="false" ht="12.75" hidden="false" customHeight="true" outlineLevel="0" collapsed="false">
      <c r="A3" s="15" t="n">
        <v>44967</v>
      </c>
      <c r="B3" s="16" t="n">
        <v>16.2</v>
      </c>
      <c r="C3" s="16" t="n">
        <v>12.96</v>
      </c>
      <c r="D3" s="16" t="n">
        <v>16.2</v>
      </c>
      <c r="E3" s="16" t="n">
        <v>1.602</v>
      </c>
      <c r="F3" s="16" t="n">
        <v>13.8</v>
      </c>
      <c r="G3" s="16" t="n">
        <v>0</v>
      </c>
      <c r="H3" s="16" t="n">
        <v>28.398</v>
      </c>
      <c r="I3" s="16" t="n">
        <v>15.438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2.75" hidden="false" customHeight="true" outlineLevel="0" collapsed="false">
      <c r="A4" s="15" t="n">
        <v>44995</v>
      </c>
      <c r="B4" s="16" t="n">
        <v>16.2</v>
      </c>
      <c r="C4" s="16" t="n">
        <v>12.96</v>
      </c>
      <c r="D4" s="16" t="n">
        <v>16.2</v>
      </c>
      <c r="E4" s="16" t="n">
        <v>2.367</v>
      </c>
      <c r="F4" s="16" t="n">
        <v>0</v>
      </c>
      <c r="G4" s="16" t="n">
        <v>0</v>
      </c>
      <c r="H4" s="16" t="n">
        <v>13.833</v>
      </c>
      <c r="I4" s="16" t="n">
        <v>0.872999999999985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customFormat="false" ht="12.75" hidden="false" customHeight="true" outlineLevel="0" collapsed="false">
      <c r="A5" s="15" t="n">
        <v>45026</v>
      </c>
      <c r="B5" s="16" t="n">
        <v>16.2</v>
      </c>
      <c r="C5" s="16" t="n">
        <v>12.96</v>
      </c>
      <c r="D5" s="16" t="n">
        <v>13.833</v>
      </c>
      <c r="E5" s="16" t="n">
        <v>2.428</v>
      </c>
      <c r="F5" s="16" t="n">
        <v>0</v>
      </c>
      <c r="G5" s="16" t="n">
        <v>7.25421988901889</v>
      </c>
      <c r="H5" s="16" t="n">
        <v>18.6592198860189</v>
      </c>
      <c r="I5" s="16" t="n">
        <v>5.69921988601887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2.75" hidden="false" customHeight="true" outlineLevel="0" collapsed="false">
      <c r="A6" s="15" t="n">
        <v>45056</v>
      </c>
      <c r="B6" s="16" t="n">
        <v>16.2</v>
      </c>
      <c r="C6" s="16" t="n">
        <v>12.96</v>
      </c>
      <c r="D6" s="16" t="n">
        <v>16.2</v>
      </c>
      <c r="E6" s="16" t="n">
        <v>2.178</v>
      </c>
      <c r="F6" s="16" t="n">
        <v>0</v>
      </c>
      <c r="G6" s="16" t="n">
        <v>7.25421988901889</v>
      </c>
      <c r="H6" s="16" t="n">
        <v>21.2762198870189</v>
      </c>
      <c r="I6" s="16" t="n">
        <v>8.31621988701889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customFormat="false" ht="12.75" hidden="false" customHeight="true" outlineLevel="0" collapsed="false">
      <c r="A7" s="15" t="n">
        <v>45087</v>
      </c>
      <c r="B7" s="16" t="n">
        <v>16.2</v>
      </c>
      <c r="C7" s="16" t="n">
        <v>12.96</v>
      </c>
      <c r="D7" s="16" t="n">
        <v>16.2</v>
      </c>
      <c r="E7" s="16" t="n">
        <v>2.38</v>
      </c>
      <c r="F7" s="16" t="n">
        <v>0.8</v>
      </c>
      <c r="G7" s="16" t="n">
        <v>0</v>
      </c>
      <c r="H7" s="16" t="n">
        <v>14.619999998</v>
      </c>
      <c r="I7" s="16" t="n">
        <v>1.659999998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customFormat="false" ht="12.75" hidden="false" customHeight="true" outlineLevel="0" collapsed="false">
      <c r="A8" s="15" t="n">
        <v>45117</v>
      </c>
      <c r="B8" s="16" t="n">
        <v>16.2</v>
      </c>
      <c r="C8" s="16" t="n">
        <v>12.96</v>
      </c>
      <c r="D8" s="16" t="n">
        <v>14.619999998</v>
      </c>
      <c r="E8" s="16" t="n">
        <v>2.009</v>
      </c>
      <c r="F8" s="16" t="n">
        <v>6.8</v>
      </c>
      <c r="G8" s="16" t="n">
        <v>0</v>
      </c>
      <c r="H8" s="16" t="n">
        <v>19.410999997</v>
      </c>
      <c r="I8" s="16" t="n">
        <v>6.450999997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customFormat="false" ht="12.75" hidden="false" customHeight="true" outlineLevel="0" collapsed="false">
      <c r="A9" s="15" t="n">
        <v>45148</v>
      </c>
      <c r="B9" s="16" t="n">
        <v>16.2</v>
      </c>
      <c r="C9" s="16" t="n">
        <v>12.96</v>
      </c>
      <c r="D9" s="16" t="n">
        <v>16.2</v>
      </c>
      <c r="E9" s="16" t="n">
        <v>2.355</v>
      </c>
      <c r="F9" s="16" t="n">
        <v>0</v>
      </c>
      <c r="G9" s="16" t="n">
        <v>0</v>
      </c>
      <c r="H9" s="16" t="n">
        <v>13.845</v>
      </c>
      <c r="I9" s="16" t="n">
        <v>0.884999999999986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customFormat="false" ht="12.75" hidden="false" customHeight="true" outlineLevel="0" collapsed="false">
      <c r="A10" s="15" t="n">
        <v>45179</v>
      </c>
      <c r="B10" s="16" t="n">
        <v>16.2</v>
      </c>
      <c r="C10" s="16" t="n">
        <v>12.96</v>
      </c>
      <c r="D10" s="16" t="n">
        <v>13.845</v>
      </c>
      <c r="E10" s="16" t="n">
        <v>2.311</v>
      </c>
      <c r="F10" s="16" t="n">
        <v>1.3429</v>
      </c>
      <c r="G10" s="16" t="n">
        <v>7.25421988901889</v>
      </c>
      <c r="H10" s="16" t="n">
        <v>20.1311198890189</v>
      </c>
      <c r="I10" s="16" t="n">
        <v>7.17111988901887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customFormat="false" ht="12.75" hidden="false" customHeight="true" outlineLevel="0" collapsed="false">
      <c r="A11" s="15" t="n">
        <v>45209</v>
      </c>
      <c r="B11" s="16" t="n">
        <v>16.2</v>
      </c>
      <c r="C11" s="16" t="n">
        <v>12.96</v>
      </c>
      <c r="D11" s="16" t="n">
        <v>16.2</v>
      </c>
      <c r="E11" s="16" t="n">
        <v>2.72</v>
      </c>
      <c r="F11" s="16" t="n">
        <v>0.2</v>
      </c>
      <c r="G11" s="16" t="n">
        <v>0</v>
      </c>
      <c r="H11" s="16" t="n">
        <v>13.68</v>
      </c>
      <c r="I11" s="16" t="n">
        <v>0.720000000000001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customFormat="false" ht="12.75" hidden="false" customHeight="true" outlineLevel="0" collapsed="false">
      <c r="A12" s="15" t="n">
        <v>45240</v>
      </c>
      <c r="B12" s="16" t="n">
        <v>16.2</v>
      </c>
      <c r="C12" s="16" t="n">
        <v>12.96</v>
      </c>
      <c r="D12" s="16" t="n">
        <v>13.68</v>
      </c>
      <c r="E12" s="16" t="n">
        <v>4.547</v>
      </c>
      <c r="F12" s="16" t="n">
        <v>0</v>
      </c>
      <c r="G12" s="16" t="n">
        <v>7.25421988901889</v>
      </c>
      <c r="H12" s="16" t="n">
        <v>16.3872198890189</v>
      </c>
      <c r="I12" s="16" t="n">
        <v>3.42721988901889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customFormat="false" ht="12.75" hidden="false" customHeight="true" outlineLevel="0" collapsed="false">
      <c r="A13" s="15" t="n">
        <v>45270</v>
      </c>
      <c r="B13" s="16" t="n">
        <v>16.2</v>
      </c>
      <c r="C13" s="16" t="n">
        <v>12.96</v>
      </c>
      <c r="D13" s="16" t="n">
        <v>16.2</v>
      </c>
      <c r="E13" s="16" t="n">
        <v>4.014</v>
      </c>
      <c r="F13" s="16" t="n">
        <v>0</v>
      </c>
      <c r="G13" s="16" t="n">
        <v>7.25421988901889</v>
      </c>
      <c r="H13" s="16" t="n">
        <v>19.4402198890189</v>
      </c>
      <c r="I13" s="16" t="n">
        <v>6.48021988901889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customFormat="false" ht="12.75" hidden="false" customHeight="true" outlineLevel="0" collapsed="false">
      <c r="A14" s="15" t="s">
        <v>20</v>
      </c>
      <c r="B14" s="16" t="n">
        <v>16.2</v>
      </c>
      <c r="C14" s="16" t="n">
        <v>12.96</v>
      </c>
      <c r="D14" s="16" t="n">
        <v>16.2</v>
      </c>
      <c r="E14" s="16" t="n">
        <v>3.54</v>
      </c>
      <c r="F14" s="16" t="n">
        <v>0</v>
      </c>
      <c r="G14" s="16" t="n">
        <v>7.25421988901889</v>
      </c>
      <c r="H14" s="16" t="n">
        <v>19.9142198890189</v>
      </c>
      <c r="I14" s="16" t="n">
        <v>6.9542198890189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customFormat="false" ht="12.75" hidden="false" customHeight="true" outlineLevel="0" collapsed="false">
      <c r="A15" s="15" t="s">
        <v>21</v>
      </c>
      <c r="B15" s="16" t="n">
        <v>16.2</v>
      </c>
      <c r="C15" s="16" t="n">
        <v>12.96</v>
      </c>
      <c r="D15" s="16" t="n">
        <v>16.2</v>
      </c>
      <c r="E15" s="16" t="n">
        <v>3.121</v>
      </c>
      <c r="F15" s="16" t="n">
        <v>0</v>
      </c>
      <c r="G15" s="16" t="n">
        <v>0</v>
      </c>
      <c r="H15" s="16" t="n">
        <v>13.079</v>
      </c>
      <c r="I15" s="16" t="n">
        <v>0.118999999999986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customFormat="false" ht="12.75" hidden="false" customHeight="true" outlineLevel="0" collapsed="false">
      <c r="A16" s="15" t="s">
        <v>22</v>
      </c>
      <c r="B16" s="16" t="n">
        <v>16.2</v>
      </c>
      <c r="C16" s="16" t="n">
        <v>12.96</v>
      </c>
      <c r="D16" s="16" t="n">
        <v>13.079</v>
      </c>
      <c r="E16" s="16" t="n">
        <v>5.379</v>
      </c>
      <c r="F16" s="16" t="n">
        <v>0</v>
      </c>
      <c r="G16" s="16" t="n">
        <v>7.25421988901889</v>
      </c>
      <c r="H16" s="16" t="n">
        <v>14.9542198890189</v>
      </c>
      <c r="I16" s="16" t="n">
        <v>1.99421988901888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customFormat="false" ht="12.75" hidden="false" customHeight="true" outlineLevel="0" collapsed="false">
      <c r="A17" s="15" t="s">
        <v>23</v>
      </c>
      <c r="B17" s="16" t="n">
        <v>27</v>
      </c>
      <c r="C17" s="16" t="n">
        <v>18.9</v>
      </c>
      <c r="D17" s="16" t="n">
        <v>14.9542198890189</v>
      </c>
      <c r="E17" s="16" t="n">
        <v>6.16</v>
      </c>
      <c r="F17" s="16" t="n">
        <v>0</v>
      </c>
      <c r="G17" s="16" t="n">
        <v>11.1603382907983</v>
      </c>
      <c r="H17" s="16" t="n">
        <v>19.9545581798172</v>
      </c>
      <c r="I17" s="16" t="n">
        <v>1.05455817981718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customFormat="false" ht="12.75" hidden="false" customHeight="true" outlineLevel="0" collapsed="false">
      <c r="A18" s="15" t="s">
        <v>24</v>
      </c>
      <c r="B18" s="16" t="n">
        <v>27</v>
      </c>
      <c r="C18" s="16" t="n">
        <v>18.9</v>
      </c>
      <c r="D18" s="16" t="n">
        <v>19.9545581798172</v>
      </c>
      <c r="E18" s="16" t="n">
        <v>5.389</v>
      </c>
      <c r="F18" s="16" t="n">
        <v>0</v>
      </c>
      <c r="G18" s="16" t="n">
        <v>7.25421988901889</v>
      </c>
      <c r="H18" s="16" t="n">
        <v>21.8197780688361</v>
      </c>
      <c r="I18" s="16" t="n">
        <v>2.91977806883607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customFormat="false" ht="12.75" hidden="false" customHeight="true" outlineLevel="0" collapsed="false">
      <c r="A19" s="15" t="s">
        <v>25</v>
      </c>
      <c r="B19" s="16" t="n">
        <v>27</v>
      </c>
      <c r="C19" s="16" t="n">
        <v>18.9</v>
      </c>
      <c r="D19" s="16" t="n">
        <v>21.8197780688361</v>
      </c>
      <c r="E19" s="16" t="n">
        <v>5.18</v>
      </c>
      <c r="F19" s="16" t="n">
        <v>0</v>
      </c>
      <c r="G19" s="16" t="n">
        <v>7.25421988901889</v>
      </c>
      <c r="H19" s="16" t="n">
        <v>23.893997957855</v>
      </c>
      <c r="I19" s="16" t="n">
        <v>4.99399795785497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customFormat="false" ht="12.75" hidden="false" customHeight="true" outlineLevel="0" collapsed="false">
      <c r="A20" s="15" t="s">
        <v>26</v>
      </c>
      <c r="B20" s="16" t="n">
        <v>27</v>
      </c>
      <c r="C20" s="16" t="n">
        <v>18.9</v>
      </c>
      <c r="D20" s="16" t="n">
        <v>23.893997957855</v>
      </c>
      <c r="E20" s="16" t="n">
        <v>5.773</v>
      </c>
      <c r="F20" s="16" t="n">
        <v>0</v>
      </c>
      <c r="G20" s="16" t="n">
        <v>7.25421988901889</v>
      </c>
      <c r="H20" s="16" t="n">
        <v>25.3752178468739</v>
      </c>
      <c r="I20" s="16" t="n">
        <v>6.47521784687386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customFormat="false" ht="12.75" hidden="false" customHeight="true" outlineLevel="0" collapsed="false">
      <c r="A21" s="15" t="s">
        <v>27</v>
      </c>
      <c r="B21" s="16" t="n">
        <v>27</v>
      </c>
      <c r="C21" s="16" t="n">
        <v>18.9</v>
      </c>
      <c r="D21" s="16" t="n">
        <v>25.3752178468739</v>
      </c>
      <c r="E21" s="16" t="n">
        <v>6.078</v>
      </c>
      <c r="F21" s="16" t="n">
        <v>0</v>
      </c>
      <c r="G21" s="16" t="n">
        <v>0</v>
      </c>
      <c r="H21" s="16" t="n">
        <v>19.2972178468739</v>
      </c>
      <c r="I21" s="16" t="n">
        <v>0.397217846873865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customFormat="false" ht="12.75" hidden="false" customHeight="true" outlineLevel="0" collapsed="false">
      <c r="A22" s="15" t="s">
        <v>28</v>
      </c>
      <c r="B22" s="16" t="n">
        <v>27</v>
      </c>
      <c r="C22" s="16" t="n">
        <v>18.9</v>
      </c>
      <c r="D22" s="16" t="n">
        <v>19.2972178468739</v>
      </c>
      <c r="E22" s="16" t="n">
        <v>3.012</v>
      </c>
      <c r="F22" s="16" t="n">
        <v>8.6</v>
      </c>
      <c r="G22" s="16" t="n">
        <v>0</v>
      </c>
      <c r="H22" s="16" t="n">
        <v>24.8852178468739</v>
      </c>
      <c r="I22" s="16" t="n">
        <v>5.98521784687387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customFormat="false" ht="12.75" hidden="false" customHeight="true" outlineLevel="0" collapsed="false">
      <c r="A23" s="15" t="s">
        <v>29</v>
      </c>
      <c r="B23" s="16" t="n">
        <v>27</v>
      </c>
      <c r="C23" s="16" t="n">
        <v>18.9</v>
      </c>
      <c r="D23" s="16" t="n">
        <v>24.8852178468739</v>
      </c>
      <c r="E23" s="16" t="n">
        <v>4.425</v>
      </c>
      <c r="F23" s="16" t="n">
        <v>0</v>
      </c>
      <c r="G23" s="16" t="n">
        <v>0</v>
      </c>
      <c r="H23" s="16" t="n">
        <v>20.4602178468739</v>
      </c>
      <c r="I23" s="16" t="n">
        <v>1.56021784687386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customFormat="false" ht="12.75" hidden="false" customHeight="true" outlineLevel="0" collapsed="false">
      <c r="A24" s="15" t="s">
        <v>30</v>
      </c>
      <c r="B24" s="16" t="n">
        <v>27</v>
      </c>
      <c r="C24" s="16" t="n">
        <v>18.9</v>
      </c>
      <c r="D24" s="16" t="n">
        <v>20.4602178468739</v>
      </c>
      <c r="E24" s="16" t="n">
        <v>5.583</v>
      </c>
      <c r="F24" s="16" t="n">
        <v>0</v>
      </c>
      <c r="G24" s="16" t="n">
        <v>7.25421988901889</v>
      </c>
      <c r="H24" s="16" t="n">
        <v>22.1314377358928</v>
      </c>
      <c r="I24" s="16" t="n">
        <v>3.23143773589276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customFormat="false" ht="12.75" hidden="false" customHeight="true" outlineLevel="0" collapsed="false">
      <c r="A25" s="15" t="s">
        <v>31</v>
      </c>
      <c r="B25" s="16" t="n">
        <v>27</v>
      </c>
      <c r="C25" s="16" t="n">
        <v>18.9</v>
      </c>
      <c r="D25" s="16" t="n">
        <v>22.1314377358928</v>
      </c>
      <c r="E25" s="16" t="n">
        <v>4.717</v>
      </c>
      <c r="F25" s="16" t="n">
        <v>0</v>
      </c>
      <c r="G25" s="16" t="n">
        <v>7.25421988901889</v>
      </c>
      <c r="H25" s="16" t="n">
        <v>24.6686576249117</v>
      </c>
      <c r="I25" s="16" t="n">
        <v>5.76865762491165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customFormat="false" ht="12.75" hidden="false" customHeight="true" outlineLevel="0" collapsed="false">
      <c r="A26" s="15" t="s">
        <v>32</v>
      </c>
      <c r="B26" s="16" t="n">
        <v>27</v>
      </c>
      <c r="C26" s="16" t="n">
        <v>18.9</v>
      </c>
      <c r="D26" s="16" t="n">
        <v>24.6686576249117</v>
      </c>
      <c r="E26" s="16" t="n">
        <v>5.298</v>
      </c>
      <c r="F26" s="16" t="n">
        <v>0.171375</v>
      </c>
      <c r="G26" s="16" t="n">
        <v>0</v>
      </c>
      <c r="H26" s="16" t="n">
        <v>19.5420326249117</v>
      </c>
      <c r="I26" s="16" t="n">
        <v>0.642032624911653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customFormat="false" ht="12.75" hidden="false" customHeight="true" outlineLevel="0" collapsed="false">
      <c r="A27" s="15" t="s">
        <v>33</v>
      </c>
      <c r="B27" s="16" t="n">
        <v>27</v>
      </c>
      <c r="C27" s="16" t="n">
        <v>18.9</v>
      </c>
      <c r="D27" s="16" t="n">
        <v>19.5420326249117</v>
      </c>
      <c r="E27" s="16" t="n">
        <v>2.775</v>
      </c>
      <c r="F27" s="16" t="n">
        <v>2.83599</v>
      </c>
      <c r="G27" s="16" t="n">
        <v>0</v>
      </c>
      <c r="H27" s="16" t="n">
        <v>19.6030226249117</v>
      </c>
      <c r="I27" s="16" t="n">
        <v>0.703022624911654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customFormat="false" ht="12.75" hidden="false" customHeight="true" outlineLevel="0" collapsed="false">
      <c r="A28" s="15" t="s">
        <v>34</v>
      </c>
      <c r="B28" s="16" t="n">
        <v>27</v>
      </c>
      <c r="C28" s="16" t="n">
        <v>18.9</v>
      </c>
      <c r="D28" s="16" t="n">
        <v>19.6030226249117</v>
      </c>
      <c r="E28" s="16" t="n">
        <v>2.731</v>
      </c>
      <c r="F28" s="16" t="n">
        <v>0</v>
      </c>
      <c r="G28" s="16" t="n">
        <v>7.25421988901889</v>
      </c>
      <c r="H28" s="16" t="n">
        <v>24.1262425139305</v>
      </c>
      <c r="I28" s="16" t="n">
        <v>5.22624251393055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customFormat="false" ht="12.75" hidden="false" customHeight="true" outlineLevel="0" collapsed="false">
      <c r="A29" s="15" t="s">
        <v>35</v>
      </c>
      <c r="B29" s="16" t="n">
        <v>27</v>
      </c>
      <c r="C29" s="16" t="n">
        <v>18.9</v>
      </c>
      <c r="D29" s="16" t="n">
        <v>24.1262425139305</v>
      </c>
      <c r="E29" s="16" t="n">
        <v>3.159</v>
      </c>
      <c r="F29" s="16" t="n">
        <v>0</v>
      </c>
      <c r="G29" s="16" t="n">
        <v>0</v>
      </c>
      <c r="H29" s="16" t="n">
        <v>20.9672425139305</v>
      </c>
      <c r="I29" s="16" t="n">
        <v>2.06724251393055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customFormat="false" ht="12.75" hidden="false" customHeight="true" outlineLevel="0" collapsed="false">
      <c r="A30" s="15" t="s">
        <v>36</v>
      </c>
      <c r="B30" s="16" t="n">
        <v>27</v>
      </c>
      <c r="C30" s="16" t="n">
        <v>18.9</v>
      </c>
      <c r="D30" s="16" t="n">
        <v>20.9672425139305</v>
      </c>
      <c r="E30" s="16" t="n">
        <v>4.252</v>
      </c>
      <c r="F30" s="16" t="n">
        <v>5.48491</v>
      </c>
      <c r="G30" s="16" t="n">
        <v>0</v>
      </c>
      <c r="H30" s="16" t="n">
        <v>22.2001525139305</v>
      </c>
      <c r="I30" s="16" t="n">
        <v>3.30015251393055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customFormat="false" ht="12.75" hidden="false" customHeight="true" outlineLevel="0" collapsed="false">
      <c r="A31" s="15" t="s">
        <v>37</v>
      </c>
      <c r="B31" s="16" t="n">
        <v>27</v>
      </c>
      <c r="C31" s="16" t="n">
        <v>18.9</v>
      </c>
      <c r="D31" s="16" t="n">
        <v>22.2001525139305</v>
      </c>
      <c r="E31" s="16" t="n">
        <v>5.829</v>
      </c>
      <c r="F31" s="16" t="n">
        <v>0</v>
      </c>
      <c r="G31" s="16" t="n">
        <v>7.25421988901889</v>
      </c>
      <c r="H31" s="16" t="n">
        <v>23.6253724029494</v>
      </c>
      <c r="I31" s="16" t="n">
        <v>4.72537240294944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customFormat="false" ht="12.75" hidden="false" customHeight="true" outlineLevel="0" collapsed="false">
      <c r="A32" s="15" t="s">
        <v>38</v>
      </c>
      <c r="B32" s="16" t="n">
        <v>27</v>
      </c>
      <c r="C32" s="16" t="n">
        <v>18.9</v>
      </c>
      <c r="D32" s="16" t="n">
        <v>23.6253724029494</v>
      </c>
      <c r="E32" s="16" t="n">
        <v>4.945</v>
      </c>
      <c r="F32" s="16" t="n">
        <v>0</v>
      </c>
      <c r="G32" s="16" t="n">
        <v>7.25421988901889</v>
      </c>
      <c r="H32" s="16" t="n">
        <v>25.9345922919683</v>
      </c>
      <c r="I32" s="16" t="n">
        <v>7.03459229196834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customFormat="false" ht="12.75" hidden="false" customHeight="true" outlineLevel="0" collapsed="false">
      <c r="A33" s="15" t="n">
        <v>44937</v>
      </c>
      <c r="B33" s="16" t="n">
        <v>27</v>
      </c>
      <c r="C33" s="16" t="n">
        <v>18.9</v>
      </c>
      <c r="D33" s="16" t="n">
        <v>25.9345922919683</v>
      </c>
      <c r="E33" s="16" t="n">
        <v>3.516</v>
      </c>
      <c r="F33" s="16" t="n">
        <v>3.96263</v>
      </c>
      <c r="G33" s="16" t="n">
        <v>0</v>
      </c>
      <c r="H33" s="16" t="n">
        <v>26.3812222919683</v>
      </c>
      <c r="I33" s="16" t="n">
        <v>7.48122229196834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customFormat="false" ht="12.75" hidden="false" customHeight="true" outlineLevel="0" collapsed="false">
      <c r="A34" s="15" t="n">
        <v>44968</v>
      </c>
      <c r="B34" s="16" t="n">
        <v>27</v>
      </c>
      <c r="C34" s="16" t="n">
        <v>18.9</v>
      </c>
      <c r="D34" s="16" t="n">
        <v>26.3812222919683</v>
      </c>
      <c r="E34" s="16" t="n">
        <v>5.489</v>
      </c>
      <c r="F34" s="16" t="n">
        <v>0.543691</v>
      </c>
      <c r="G34" s="16" t="n">
        <v>0</v>
      </c>
      <c r="H34" s="16" t="n">
        <v>21.4359132919683</v>
      </c>
      <c r="I34" s="16" t="n">
        <v>2.53591329196833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customFormat="false" ht="12.75" hidden="false" customHeight="true" outlineLevel="0" collapsed="false">
      <c r="A35" s="15" t="n">
        <v>44996</v>
      </c>
      <c r="B35" s="16" t="n">
        <v>27</v>
      </c>
      <c r="C35" s="16" t="n">
        <v>18.9</v>
      </c>
      <c r="D35" s="16" t="n">
        <v>21.4359132919683</v>
      </c>
      <c r="E35" s="16" t="n">
        <v>2.415</v>
      </c>
      <c r="F35" s="16" t="n">
        <v>7</v>
      </c>
      <c r="G35" s="16" t="n">
        <v>0</v>
      </c>
      <c r="H35" s="16" t="n">
        <v>26.0209132919683</v>
      </c>
      <c r="I35" s="16" t="n">
        <v>7.12091329196834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customFormat="false" ht="12.75" hidden="false" customHeight="true" outlineLevel="0" collapsed="false">
      <c r="A36" s="15" t="n">
        <v>45027</v>
      </c>
      <c r="B36" s="16" t="n">
        <v>27</v>
      </c>
      <c r="C36" s="16" t="n">
        <v>18.9</v>
      </c>
      <c r="D36" s="16" t="n">
        <v>26.0209132919683</v>
      </c>
      <c r="E36" s="16" t="n">
        <v>1.999</v>
      </c>
      <c r="F36" s="16" t="n">
        <v>0</v>
      </c>
      <c r="G36" s="16" t="n">
        <v>0</v>
      </c>
      <c r="H36" s="16" t="n">
        <v>24.0219132919683</v>
      </c>
      <c r="I36" s="16" t="n">
        <v>5.12191329196834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customFormat="false" ht="12.75" hidden="false" customHeight="true" outlineLevel="0" collapsed="false">
      <c r="A37" s="15" t="n">
        <v>45057</v>
      </c>
      <c r="B37" s="16" t="n">
        <v>27</v>
      </c>
      <c r="C37" s="16" t="n">
        <v>18.9</v>
      </c>
      <c r="D37" s="16" t="n">
        <v>24.0219132919683</v>
      </c>
      <c r="E37" s="16" t="n">
        <v>3.357</v>
      </c>
      <c r="F37" s="16" t="n">
        <v>2</v>
      </c>
      <c r="G37" s="16" t="n">
        <v>0</v>
      </c>
      <c r="H37" s="16" t="n">
        <v>22.6649132919683</v>
      </c>
      <c r="I37" s="16" t="n">
        <v>3.76491329196833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customFormat="false" ht="12.75" hidden="false" customHeight="true" outlineLevel="0" collapsed="false">
      <c r="A38" s="15" t="n">
        <v>45088</v>
      </c>
      <c r="B38" s="16" t="n">
        <v>27</v>
      </c>
      <c r="C38" s="16" t="n">
        <v>18.9</v>
      </c>
      <c r="D38" s="16" t="n">
        <v>22.6649132919683</v>
      </c>
      <c r="E38" s="16" t="n">
        <v>2.932</v>
      </c>
      <c r="F38" s="16" t="n">
        <v>0</v>
      </c>
      <c r="G38" s="16" t="n">
        <v>7.25421988901889</v>
      </c>
      <c r="H38" s="16" t="n">
        <v>26.9871331809872</v>
      </c>
      <c r="I38" s="16" t="n">
        <v>8.08713318098723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customFormat="false" ht="12.75" hidden="false" customHeight="true" outlineLevel="0" collapsed="false">
      <c r="A39" s="15" t="n">
        <v>45118</v>
      </c>
      <c r="B39" s="16" t="n">
        <v>27</v>
      </c>
      <c r="C39" s="16" t="n">
        <v>18.9</v>
      </c>
      <c r="D39" s="16" t="n">
        <v>26.9871331809872</v>
      </c>
      <c r="E39" s="16" t="n">
        <v>3.456</v>
      </c>
      <c r="F39" s="16" t="n">
        <v>0</v>
      </c>
      <c r="G39" s="16" t="n">
        <v>0</v>
      </c>
      <c r="H39" s="16" t="n">
        <v>23.5311331809872</v>
      </c>
      <c r="I39" s="16" t="n">
        <v>4.63113318098723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customFormat="false" ht="12.75" hidden="false" customHeight="true" outlineLevel="0" collapsed="false">
      <c r="A40" s="15" t="n">
        <v>45149</v>
      </c>
      <c r="B40" s="16" t="n">
        <v>27</v>
      </c>
      <c r="C40" s="16" t="n">
        <v>18.9</v>
      </c>
      <c r="D40" s="16" t="n">
        <v>23.5311331809872</v>
      </c>
      <c r="E40" s="16" t="n">
        <v>4.363</v>
      </c>
      <c r="F40" s="16" t="n">
        <v>0</v>
      </c>
      <c r="G40" s="16" t="n">
        <v>7.25421988901889</v>
      </c>
      <c r="H40" s="16" t="n">
        <v>26.4223530700061</v>
      </c>
      <c r="I40" s="16" t="n">
        <v>7.52235307000613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customFormat="false" ht="12.75" hidden="false" customHeight="true" outlineLevel="0" collapsed="false">
      <c r="A41" s="15" t="n">
        <v>45180</v>
      </c>
      <c r="B41" s="16" t="n">
        <v>27</v>
      </c>
      <c r="C41" s="16" t="n">
        <v>18.9</v>
      </c>
      <c r="D41" s="16" t="n">
        <v>26.4223530700061</v>
      </c>
      <c r="E41" s="16" t="n">
        <v>4.334</v>
      </c>
      <c r="F41" s="16" t="n">
        <v>0</v>
      </c>
      <c r="G41" s="16" t="n">
        <v>0</v>
      </c>
      <c r="H41" s="16" t="n">
        <v>22.0883530700061</v>
      </c>
      <c r="I41" s="16" t="n">
        <v>3.18835307000613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customFormat="false" ht="12.75" hidden="false" customHeight="true" outlineLevel="0" collapsed="false">
      <c r="A42" s="15" t="n">
        <v>45210</v>
      </c>
      <c r="B42" s="16" t="n">
        <v>27</v>
      </c>
      <c r="C42" s="16" t="n">
        <v>18.9</v>
      </c>
      <c r="D42" s="16" t="n">
        <v>22.0883530700061</v>
      </c>
      <c r="E42" s="16" t="n">
        <v>4.651</v>
      </c>
      <c r="F42" s="16" t="n">
        <v>0</v>
      </c>
      <c r="G42" s="16" t="n">
        <v>8.0602443211321</v>
      </c>
      <c r="H42" s="16" t="n">
        <v>25.4975973911382</v>
      </c>
      <c r="I42" s="16" t="n">
        <v>6.59759739113823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customFormat="false" ht="12.75" hidden="false" customHeight="true" outlineLevel="0" collapsed="false">
      <c r="A43" s="15" t="n">
        <v>45241</v>
      </c>
      <c r="B43" s="16" t="n">
        <v>27</v>
      </c>
      <c r="C43" s="16" t="n">
        <v>18.9</v>
      </c>
      <c r="D43" s="16" t="n">
        <v>25.4975973911382</v>
      </c>
      <c r="E43" s="16" t="n">
        <v>5.219</v>
      </c>
      <c r="F43" s="16" t="n">
        <v>0</v>
      </c>
      <c r="G43" s="16" t="n">
        <v>0</v>
      </c>
      <c r="H43" s="16" t="n">
        <v>20.2785973911382</v>
      </c>
      <c r="I43" s="16" t="n">
        <v>1.37859739113823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customFormat="false" ht="12.75" hidden="false" customHeight="true" outlineLevel="0" collapsed="false">
      <c r="A44" s="15" t="n">
        <v>45271</v>
      </c>
      <c r="B44" s="16" t="n">
        <v>27</v>
      </c>
      <c r="C44" s="16" t="n">
        <v>18.9</v>
      </c>
      <c r="D44" s="16" t="n">
        <v>20.2785973911382</v>
      </c>
      <c r="E44" s="16" t="n">
        <v>5.576</v>
      </c>
      <c r="F44" s="16" t="n">
        <v>0</v>
      </c>
      <c r="G44" s="16" t="n">
        <v>9.06777486127362</v>
      </c>
      <c r="H44" s="16" t="n">
        <v>23.7703722524118</v>
      </c>
      <c r="I44" s="16" t="n">
        <v>4.87037225241185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customFormat="false" ht="12.75" hidden="false" customHeight="true" outlineLevel="0" collapsed="false">
      <c r="A45" s="15" t="s">
        <v>51</v>
      </c>
      <c r="B45" s="16" t="n">
        <v>27</v>
      </c>
      <c r="C45" s="16" t="n">
        <v>18.9</v>
      </c>
      <c r="D45" s="16" t="n">
        <v>23.7703722524118</v>
      </c>
      <c r="E45" s="16" t="n">
        <v>6.285</v>
      </c>
      <c r="F45" s="16" t="n">
        <v>0</v>
      </c>
      <c r="G45" s="16" t="n">
        <v>7.25421988901889</v>
      </c>
      <c r="H45" s="16" t="n">
        <v>24.7395921414307</v>
      </c>
      <c r="I45" s="16" t="n">
        <v>5.83959214143074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customFormat="false" ht="12.75" hidden="false" customHeight="true" outlineLevel="0" collapsed="false">
      <c r="A46" s="15" t="s">
        <v>52</v>
      </c>
      <c r="B46" s="16" t="n">
        <v>27</v>
      </c>
      <c r="C46" s="16" t="n">
        <v>18.9</v>
      </c>
      <c r="D46" s="16" t="n">
        <v>24.7395921414307</v>
      </c>
      <c r="E46" s="16" t="n">
        <v>5.211</v>
      </c>
      <c r="F46" s="16" t="n">
        <v>0</v>
      </c>
      <c r="G46" s="16" t="n">
        <v>7.25421988901889</v>
      </c>
      <c r="H46" s="16" t="n">
        <v>26.7828120304496</v>
      </c>
      <c r="I46" s="16" t="n">
        <v>7.88281203044964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customFormat="false" ht="12.75" hidden="false" customHeight="true" outlineLevel="0" collapsed="false">
      <c r="A47" s="15" t="s">
        <v>53</v>
      </c>
      <c r="B47" s="16" t="n">
        <v>27</v>
      </c>
      <c r="C47" s="16" t="n">
        <v>18.9</v>
      </c>
      <c r="D47" s="16" t="n">
        <v>26.7828120304496</v>
      </c>
      <c r="E47" s="16" t="n">
        <v>6.397</v>
      </c>
      <c r="F47" s="16" t="n">
        <v>0</v>
      </c>
      <c r="G47" s="16" t="n">
        <v>0</v>
      </c>
      <c r="H47" s="16" t="n">
        <v>20.3858120304496</v>
      </c>
      <c r="I47" s="16" t="n">
        <v>1.48581203044964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customFormat="false" ht="12.75" hidden="false" customHeight="true" outlineLevel="0" collapsed="false">
      <c r="A48" s="15" t="s">
        <v>54</v>
      </c>
      <c r="B48" s="16" t="n">
        <v>27</v>
      </c>
      <c r="C48" s="16" t="n">
        <v>18.9</v>
      </c>
      <c r="D48" s="16" t="n">
        <v>20.3858120304496</v>
      </c>
      <c r="E48" s="16" t="n">
        <v>6.949</v>
      </c>
      <c r="F48" s="16" t="n">
        <v>0</v>
      </c>
      <c r="G48" s="16" t="n">
        <v>7.25421988901889</v>
      </c>
      <c r="H48" s="16" t="n">
        <v>20.6910319194685</v>
      </c>
      <c r="I48" s="16" t="n">
        <v>1.79103191946853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customFormat="false" ht="12.75" hidden="false" customHeight="true" outlineLevel="0" collapsed="false">
      <c r="A49" s="15" t="s">
        <v>55</v>
      </c>
      <c r="B49" s="16" t="n">
        <v>27</v>
      </c>
      <c r="C49" s="16" t="n">
        <v>18.9</v>
      </c>
      <c r="D49" s="16" t="n">
        <v>20.6910319194685</v>
      </c>
      <c r="E49" s="16" t="n">
        <v>6.02</v>
      </c>
      <c r="F49" s="16" t="n">
        <v>0</v>
      </c>
      <c r="G49" s="16" t="n">
        <v>7.25421988901889</v>
      </c>
      <c r="H49" s="16" t="n">
        <v>21.9252518084874</v>
      </c>
      <c r="I49" s="16" t="n">
        <v>3.02525180848743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customFormat="false" ht="12.75" hidden="false" customHeight="true" outlineLevel="0" collapsed="false">
      <c r="A50" s="15" t="s">
        <v>56</v>
      </c>
      <c r="B50" s="16" t="n">
        <v>27</v>
      </c>
      <c r="C50" s="16" t="n">
        <v>18.9</v>
      </c>
      <c r="D50" s="16" t="n">
        <v>21.9252518084874</v>
      </c>
      <c r="E50" s="16" t="n">
        <v>3.969</v>
      </c>
      <c r="F50" s="16" t="n">
        <v>0.641418</v>
      </c>
      <c r="G50" s="16" t="n">
        <v>7.25421988901889</v>
      </c>
      <c r="H50" s="16" t="n">
        <v>25.8518896975063</v>
      </c>
      <c r="I50" s="16" t="n">
        <v>6.95188969750631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customFormat="false" ht="12.75" hidden="false" customHeight="true" outlineLevel="0" collapsed="false">
      <c r="A51" s="15" t="s">
        <v>57</v>
      </c>
      <c r="B51" s="16" t="n">
        <v>27</v>
      </c>
      <c r="C51" s="16" t="n">
        <v>18.9</v>
      </c>
      <c r="D51" s="16" t="n">
        <v>25.8518896975063</v>
      </c>
      <c r="E51" s="16" t="n">
        <v>3.909</v>
      </c>
      <c r="F51" s="16" t="n">
        <v>0</v>
      </c>
      <c r="G51" s="16" t="n">
        <v>0</v>
      </c>
      <c r="H51" s="16" t="n">
        <v>21.9428896975063</v>
      </c>
      <c r="I51" s="16" t="n">
        <v>3.04288969750631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customFormat="false" ht="12.75" hidden="false" customHeight="true" outlineLevel="0" collapsed="false">
      <c r="A52" s="15" t="s">
        <v>58</v>
      </c>
      <c r="B52" s="16" t="n">
        <v>27</v>
      </c>
      <c r="C52" s="16" t="n">
        <v>18.9</v>
      </c>
      <c r="D52" s="16" t="n">
        <v>21.9428896975063</v>
      </c>
      <c r="E52" s="16" t="n">
        <v>1.531</v>
      </c>
      <c r="F52" s="16" t="n">
        <v>1.8</v>
      </c>
      <c r="G52" s="16" t="n">
        <v>0</v>
      </c>
      <c r="H52" s="16" t="n">
        <v>22.2118896975063</v>
      </c>
      <c r="I52" s="16" t="n">
        <v>3.31188969750631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customFormat="false" ht="12.75" hidden="false" customHeight="true" outlineLevel="0" collapsed="false">
      <c r="A53" s="15" t="s">
        <v>59</v>
      </c>
      <c r="B53" s="16" t="n">
        <v>27</v>
      </c>
      <c r="C53" s="16" t="n">
        <v>18.9</v>
      </c>
      <c r="D53" s="16" t="n">
        <v>22.2118896975063</v>
      </c>
      <c r="E53" s="16" t="n">
        <v>3.044</v>
      </c>
      <c r="F53" s="16" t="n">
        <v>0.776313</v>
      </c>
      <c r="G53" s="16" t="n">
        <v>0</v>
      </c>
      <c r="H53" s="16" t="n">
        <v>19.9442026975063</v>
      </c>
      <c r="I53" s="16" t="n">
        <v>1.04420269750631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customFormat="false" ht="12.75" hidden="false" customHeight="true" outlineLevel="0" collapsed="false">
      <c r="A54" s="15" t="s">
        <v>60</v>
      </c>
      <c r="B54" s="16" t="n">
        <v>27</v>
      </c>
      <c r="C54" s="16" t="n">
        <v>18.9</v>
      </c>
      <c r="D54" s="16" t="n">
        <v>19.9442026975063</v>
      </c>
      <c r="E54" s="16" t="n">
        <v>1.731</v>
      </c>
      <c r="F54" s="16" t="n">
        <v>8.6</v>
      </c>
      <c r="G54" s="16" t="n">
        <v>0</v>
      </c>
      <c r="H54" s="16" t="n">
        <v>26.8132026975063</v>
      </c>
      <c r="I54" s="16" t="n">
        <v>7.91320269750631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customFormat="false" ht="12.75" hidden="false" customHeight="true" outlineLevel="0" collapsed="false">
      <c r="A55" s="15" t="s">
        <v>61</v>
      </c>
      <c r="B55" s="16" t="n">
        <v>27</v>
      </c>
      <c r="C55" s="16" t="n">
        <v>18.9</v>
      </c>
      <c r="D55" s="16" t="n">
        <v>26.8132026975063</v>
      </c>
      <c r="E55" s="16" t="n">
        <v>3.396</v>
      </c>
      <c r="F55" s="16" t="n">
        <v>0</v>
      </c>
      <c r="G55" s="16" t="n">
        <v>0</v>
      </c>
      <c r="H55" s="16" t="n">
        <v>23.4172026975063</v>
      </c>
      <c r="I55" s="16" t="n">
        <v>4.51720269750631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customFormat="false" ht="12.75" hidden="false" customHeight="true" outlineLevel="0" collapsed="false">
      <c r="A56" s="15" t="s">
        <v>62</v>
      </c>
      <c r="B56" s="16" t="n">
        <v>27</v>
      </c>
      <c r="C56" s="16" t="n">
        <v>18.9</v>
      </c>
      <c r="D56" s="16" t="n">
        <v>23.4172026975063</v>
      </c>
      <c r="E56" s="16" t="n">
        <v>5.132</v>
      </c>
      <c r="F56" s="16" t="n">
        <v>0.0452643</v>
      </c>
      <c r="G56" s="16" t="n">
        <v>7.25421988901889</v>
      </c>
      <c r="H56" s="16" t="n">
        <v>25.5846868865252</v>
      </c>
      <c r="I56" s="16" t="n">
        <v>6.68468688652521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customFormat="false" ht="12.75" hidden="false" customHeight="true" outlineLevel="0" collapsed="false">
      <c r="A57" s="15" t="s">
        <v>63</v>
      </c>
      <c r="B57" s="16" t="n">
        <v>27</v>
      </c>
      <c r="C57" s="16" t="n">
        <v>18.9</v>
      </c>
      <c r="D57" s="16" t="n">
        <v>25.5846868865252</v>
      </c>
      <c r="E57" s="16" t="n">
        <v>4.208</v>
      </c>
      <c r="F57" s="16" t="n">
        <v>2.80605</v>
      </c>
      <c r="G57" s="16" t="n">
        <v>0</v>
      </c>
      <c r="H57" s="16" t="n">
        <v>24.1827368865252</v>
      </c>
      <c r="I57" s="16" t="n">
        <v>5.28273688652521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customFormat="false" ht="12.75" hidden="false" customHeight="true" outlineLevel="0" collapsed="false">
      <c r="A58" s="15" t="s">
        <v>64</v>
      </c>
      <c r="B58" s="16" t="n">
        <v>27</v>
      </c>
      <c r="C58" s="16" t="n">
        <v>18.9</v>
      </c>
      <c r="D58" s="16" t="n">
        <v>24.1827368865252</v>
      </c>
      <c r="E58" s="16" t="n">
        <v>4.381</v>
      </c>
      <c r="F58" s="16" t="n">
        <v>0</v>
      </c>
      <c r="G58" s="16" t="n">
        <v>0</v>
      </c>
      <c r="H58" s="16" t="n">
        <v>19.8017368865252</v>
      </c>
      <c r="I58" s="16" t="n">
        <v>0.901736886525207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customFormat="false" ht="12.75" hidden="false" customHeight="true" outlineLevel="0" collapsed="false">
      <c r="A59" s="15" t="s">
        <v>65</v>
      </c>
      <c r="B59" s="16" t="n">
        <v>27</v>
      </c>
      <c r="C59" s="16" t="n">
        <v>18.9</v>
      </c>
      <c r="D59" s="16" t="n">
        <v>19.8017368865252</v>
      </c>
      <c r="E59" s="16" t="n">
        <v>3.785</v>
      </c>
      <c r="F59" s="16" t="n">
        <v>8.07842</v>
      </c>
      <c r="G59" s="16" t="n">
        <v>0</v>
      </c>
      <c r="H59" s="16" t="n">
        <v>24.0951568865252</v>
      </c>
      <c r="I59" s="16" t="n">
        <v>5.1951568865252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customFormat="false" ht="12.75" hidden="false" customHeight="true" outlineLevel="0" collapsed="false">
      <c r="A60" s="15" t="s">
        <v>66</v>
      </c>
      <c r="B60" s="16" t="n">
        <v>27</v>
      </c>
      <c r="C60" s="16" t="n">
        <v>18.9</v>
      </c>
      <c r="D60" s="16" t="n">
        <v>24.0951568865252</v>
      </c>
      <c r="E60" s="16" t="n">
        <v>4.558</v>
      </c>
      <c r="F60" s="16" t="n">
        <v>0</v>
      </c>
      <c r="G60" s="16" t="n">
        <v>0</v>
      </c>
      <c r="H60" s="16" t="n">
        <v>19.5371568865252</v>
      </c>
      <c r="I60" s="16" t="n">
        <v>0.637156886525204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customFormat="false" ht="12.75" hidden="false" customHeight="true" outlineLevel="0" collapsed="false">
      <c r="A61" s="15" t="s">
        <v>67</v>
      </c>
      <c r="B61" s="16" t="n">
        <v>27</v>
      </c>
      <c r="C61" s="16" t="n">
        <v>18.9</v>
      </c>
      <c r="D61" s="16" t="n">
        <v>19.5371568865252</v>
      </c>
      <c r="E61" s="16" t="n">
        <v>3.851</v>
      </c>
      <c r="F61" s="16" t="n">
        <v>0</v>
      </c>
      <c r="G61" s="16" t="n">
        <v>11.1603382907983</v>
      </c>
      <c r="H61" s="16" t="n">
        <v>26.8464951773235</v>
      </c>
      <c r="I61" s="16" t="n">
        <v>7.9464951773235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customFormat="false" ht="12.75" hidden="false" customHeight="true" outlineLevel="0" collapsed="false">
      <c r="A62" s="15" t="s">
        <v>68</v>
      </c>
      <c r="B62" s="16" t="n">
        <v>32.4</v>
      </c>
      <c r="C62" s="16" t="n">
        <v>19.44</v>
      </c>
      <c r="D62" s="16" t="n">
        <v>26.8464951773235</v>
      </c>
      <c r="E62" s="16" t="n">
        <v>4.499</v>
      </c>
      <c r="F62" s="16" t="n">
        <v>0</v>
      </c>
      <c r="G62" s="16" t="n">
        <v>0</v>
      </c>
      <c r="H62" s="16" t="n">
        <v>22.3474951773235</v>
      </c>
      <c r="I62" s="16" t="n">
        <v>2.9074951773235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customFormat="false" ht="12.75" hidden="false" customHeight="true" outlineLevel="0" collapsed="false">
      <c r="A63" s="15" t="n">
        <v>44938</v>
      </c>
      <c r="B63" s="16" t="n">
        <v>32.4</v>
      </c>
      <c r="C63" s="16" t="n">
        <v>19.44</v>
      </c>
      <c r="D63" s="16" t="n">
        <v>22.3474951773235</v>
      </c>
      <c r="E63" s="16" t="n">
        <v>2.929</v>
      </c>
      <c r="F63" s="16" t="n">
        <v>5.35907</v>
      </c>
      <c r="G63" s="16" t="n">
        <v>0</v>
      </c>
      <c r="H63" s="16" t="n">
        <v>24.7775651773235</v>
      </c>
      <c r="I63" s="16" t="n">
        <v>5.3375651773235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customFormat="false" ht="12.75" hidden="false" customHeight="true" outlineLevel="0" collapsed="false">
      <c r="A64" s="15" t="n">
        <v>44969</v>
      </c>
      <c r="B64" s="16" t="n">
        <v>32.4</v>
      </c>
      <c r="C64" s="16" t="n">
        <v>19.44</v>
      </c>
      <c r="D64" s="16" t="n">
        <v>24.7775651773235</v>
      </c>
      <c r="E64" s="16" t="n">
        <v>5.337</v>
      </c>
      <c r="F64" s="16" t="n">
        <v>0</v>
      </c>
      <c r="G64" s="16" t="n">
        <v>0</v>
      </c>
      <c r="H64" s="16" t="n">
        <v>19.4405651773235</v>
      </c>
      <c r="I64" s="16" t="n">
        <v>0.000565177323505139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customFormat="false" ht="12.75" hidden="false" customHeight="true" outlineLevel="0" collapsed="false">
      <c r="A65" s="15" t="n">
        <v>44997</v>
      </c>
      <c r="B65" s="16" t="n">
        <v>32.4</v>
      </c>
      <c r="C65" s="16" t="n">
        <v>19.44</v>
      </c>
      <c r="D65" s="16" t="n">
        <v>19.4405651773235</v>
      </c>
      <c r="E65" s="16" t="n">
        <v>5.141</v>
      </c>
      <c r="F65" s="16" t="n">
        <v>6.24415</v>
      </c>
      <c r="G65" s="16" t="n">
        <v>0</v>
      </c>
      <c r="H65" s="16" t="n">
        <v>20.5437151773235</v>
      </c>
      <c r="I65" s="16" t="n">
        <v>1.1037151773235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customFormat="false" ht="12.75" hidden="false" customHeight="true" outlineLevel="0" collapsed="false">
      <c r="A66" s="15" t="n">
        <v>45028</v>
      </c>
      <c r="B66" s="16" t="n">
        <v>32.4</v>
      </c>
      <c r="C66" s="16" t="n">
        <v>19.44</v>
      </c>
      <c r="D66" s="16" t="n">
        <v>20.5437151773235</v>
      </c>
      <c r="E66" s="16" t="n">
        <v>3.539</v>
      </c>
      <c r="F66" s="16" t="n">
        <v>4.04958</v>
      </c>
      <c r="G66" s="16" t="n">
        <v>0</v>
      </c>
      <c r="H66" s="16" t="n">
        <v>21.0542951773235</v>
      </c>
      <c r="I66" s="16" t="n">
        <v>1.61429517732351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customFormat="false" ht="12.75" hidden="false" customHeight="true" outlineLevel="0" collapsed="false">
      <c r="A67" s="15" t="n">
        <v>45058</v>
      </c>
      <c r="B67" s="16" t="n">
        <v>32.4</v>
      </c>
      <c r="C67" s="16" t="n">
        <v>19.44</v>
      </c>
      <c r="D67" s="16" t="n">
        <v>21.0542951773235</v>
      </c>
      <c r="E67" s="16" t="n">
        <v>3.678</v>
      </c>
      <c r="F67" s="16" t="n">
        <v>2.88446</v>
      </c>
      <c r="G67" s="16" t="n">
        <v>0</v>
      </c>
      <c r="H67" s="16" t="n">
        <v>20.2607551773235</v>
      </c>
      <c r="I67" s="16" t="n">
        <v>0.820755177323505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customFormat="false" ht="12.75" hidden="false" customHeight="true" outlineLevel="0" collapsed="false">
      <c r="A68" s="15" t="n">
        <v>45089</v>
      </c>
      <c r="B68" s="16" t="n">
        <v>32.4</v>
      </c>
      <c r="C68" s="16" t="n">
        <v>19.44</v>
      </c>
      <c r="D68" s="16" t="n">
        <v>20.2607551773235</v>
      </c>
      <c r="E68" s="16" t="n">
        <v>3.993</v>
      </c>
      <c r="F68" s="16" t="n">
        <v>14.4</v>
      </c>
      <c r="G68" s="16" t="n">
        <v>0</v>
      </c>
      <c r="H68" s="16" t="n">
        <v>30.6677551773235</v>
      </c>
      <c r="I68" s="16" t="n">
        <v>11.2277551773235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customFormat="false" ht="12.75" hidden="false" customHeight="true" outlineLevel="0" collapsed="false">
      <c r="A69" s="15" t="n">
        <v>45119</v>
      </c>
      <c r="B69" s="16" t="n">
        <v>32.4</v>
      </c>
      <c r="C69" s="16" t="n">
        <v>19.44</v>
      </c>
      <c r="D69" s="16" t="n">
        <v>30.6677551773235</v>
      </c>
      <c r="E69" s="16" t="n">
        <v>5.494</v>
      </c>
      <c r="F69" s="16" t="n">
        <v>0</v>
      </c>
      <c r="G69" s="16" t="n">
        <v>0</v>
      </c>
      <c r="H69" s="16" t="n">
        <v>25.1737551773235</v>
      </c>
      <c r="I69" s="16" t="n">
        <v>5.73375517732351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customFormat="false" ht="12.75" hidden="false" customHeight="true" outlineLevel="0" collapsed="false">
      <c r="A70" s="15" t="n">
        <v>45150</v>
      </c>
      <c r="B70" s="16" t="n">
        <v>32.4</v>
      </c>
      <c r="C70" s="16" t="n">
        <v>19.44</v>
      </c>
      <c r="D70" s="16" t="n">
        <v>25.1737551773235</v>
      </c>
      <c r="E70" s="16" t="n">
        <v>4.914</v>
      </c>
      <c r="F70" s="16" t="n">
        <v>0</v>
      </c>
      <c r="G70" s="16" t="n">
        <v>0</v>
      </c>
      <c r="H70" s="16" t="n">
        <v>20.2597551773235</v>
      </c>
      <c r="I70" s="16" t="n">
        <v>0.819755177323508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customFormat="false" ht="12.75" hidden="false" customHeight="true" outlineLevel="0" collapsed="false">
      <c r="A71" s="15" t="n">
        <v>45181</v>
      </c>
      <c r="B71" s="16" t="n">
        <v>32.4</v>
      </c>
      <c r="C71" s="16" t="n">
        <v>19.44</v>
      </c>
      <c r="D71" s="16" t="n">
        <v>20.2597551773235</v>
      </c>
      <c r="E71" s="16" t="n">
        <v>6.216</v>
      </c>
      <c r="F71" s="16" t="n">
        <v>0</v>
      </c>
      <c r="G71" s="16" t="n">
        <v>7.25421988901889</v>
      </c>
      <c r="H71" s="16" t="n">
        <v>21.2979750663424</v>
      </c>
      <c r="I71" s="16" t="n">
        <v>1.8579750663424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customFormat="false" ht="12.75" hidden="false" customHeight="true" outlineLevel="0" collapsed="false">
      <c r="A72" s="15" t="n">
        <v>45211</v>
      </c>
      <c r="B72" s="16" t="n">
        <v>32.4</v>
      </c>
      <c r="C72" s="16" t="n">
        <v>19.44</v>
      </c>
      <c r="D72" s="16" t="n">
        <v>21.2979750663424</v>
      </c>
      <c r="E72" s="16" t="n">
        <v>4.845</v>
      </c>
      <c r="F72" s="16" t="n">
        <v>20.2</v>
      </c>
      <c r="G72" s="16" t="n">
        <v>0</v>
      </c>
      <c r="H72" s="16" t="n">
        <v>36.6529750663424</v>
      </c>
      <c r="I72" s="16" t="n">
        <v>17.2129750663424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customFormat="false" ht="12.75" hidden="false" customHeight="true" outlineLevel="0" collapsed="false">
      <c r="A73" s="15" t="n">
        <v>45242</v>
      </c>
      <c r="B73" s="16" t="n">
        <v>32.4</v>
      </c>
      <c r="C73" s="16" t="n">
        <v>19.44</v>
      </c>
      <c r="D73" s="16" t="n">
        <v>32.4</v>
      </c>
      <c r="E73" s="16" t="n">
        <v>5.245</v>
      </c>
      <c r="F73" s="16" t="n">
        <v>0</v>
      </c>
      <c r="G73" s="16" t="n">
        <v>0</v>
      </c>
      <c r="H73" s="16" t="n">
        <v>27.155</v>
      </c>
      <c r="I73" s="16" t="n">
        <v>7.71499999999998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customFormat="false" ht="12.75" hidden="false" customHeight="true" outlineLevel="0" collapsed="false">
      <c r="A74" s="15" t="n">
        <v>45272</v>
      </c>
      <c r="B74" s="16" t="n">
        <v>32.4</v>
      </c>
      <c r="C74" s="16" t="n">
        <v>19.44</v>
      </c>
      <c r="D74" s="16" t="n">
        <v>27.155</v>
      </c>
      <c r="E74" s="16" t="n">
        <v>2.578</v>
      </c>
      <c r="F74" s="16" t="n">
        <v>1.63487</v>
      </c>
      <c r="G74" s="16" t="n">
        <v>0</v>
      </c>
      <c r="H74" s="16" t="n">
        <v>26.2118699999999</v>
      </c>
      <c r="I74" s="16" t="n">
        <v>6.77186999999994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customFormat="false" ht="12.75" hidden="false" customHeight="true" outlineLevel="0" collapsed="false">
      <c r="A75" s="15" t="s">
        <v>81</v>
      </c>
      <c r="B75" s="16" t="n">
        <v>32.4</v>
      </c>
      <c r="C75" s="16" t="n">
        <v>19.44</v>
      </c>
      <c r="D75" s="16" t="n">
        <v>26.2118699999999</v>
      </c>
      <c r="E75" s="16" t="n">
        <v>5.372</v>
      </c>
      <c r="F75" s="16" t="n">
        <v>0</v>
      </c>
      <c r="G75" s="16" t="n">
        <v>7.25421988901889</v>
      </c>
      <c r="H75" s="16" t="n">
        <v>28.0940898890188</v>
      </c>
      <c r="I75" s="16" t="n">
        <v>8.65408988901884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customFormat="false" ht="12.75" hidden="false" customHeight="true" outlineLevel="0" collapsed="false">
      <c r="A76" s="15" t="s">
        <v>82</v>
      </c>
      <c r="B76" s="16" t="n">
        <v>32.4</v>
      </c>
      <c r="C76" s="16" t="n">
        <v>19.44</v>
      </c>
      <c r="D76" s="16" t="n">
        <v>28.0940898890188</v>
      </c>
      <c r="E76" s="16" t="n">
        <v>6.557</v>
      </c>
      <c r="F76" s="16" t="n">
        <v>1.2</v>
      </c>
      <c r="G76" s="16" t="n">
        <v>7.25421988901889</v>
      </c>
      <c r="H76" s="16" t="n">
        <v>29.9913097780377</v>
      </c>
      <c r="I76" s="16" t="n">
        <v>10.5513097780377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customFormat="false" ht="12.75" hidden="false" customHeight="true" outlineLevel="0" collapsed="false">
      <c r="A77" s="15" t="s">
        <v>83</v>
      </c>
      <c r="B77" s="16" t="n">
        <v>32.4</v>
      </c>
      <c r="C77" s="16" t="n">
        <v>19.44</v>
      </c>
      <c r="D77" s="16" t="n">
        <v>29.9913097780377</v>
      </c>
      <c r="E77" s="16" t="n">
        <v>5.362</v>
      </c>
      <c r="F77" s="16" t="n">
        <v>0</v>
      </c>
      <c r="G77" s="16" t="n">
        <v>7.25421988901889</v>
      </c>
      <c r="H77" s="16" t="n">
        <v>31.8835296670566</v>
      </c>
      <c r="I77" s="16" t="n">
        <v>12.4435296670566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customFormat="false" ht="12.75" hidden="false" customHeight="true" outlineLevel="0" collapsed="false">
      <c r="A78" s="15" t="s">
        <v>84</v>
      </c>
      <c r="B78" s="16" t="n">
        <v>32.4</v>
      </c>
      <c r="C78" s="16" t="n">
        <v>19.44</v>
      </c>
      <c r="D78" s="16" t="n">
        <v>31.8835296670566</v>
      </c>
      <c r="E78" s="16" t="n">
        <v>6.981</v>
      </c>
      <c r="F78" s="16" t="n">
        <v>0</v>
      </c>
      <c r="G78" s="16" t="n">
        <v>0</v>
      </c>
      <c r="H78" s="16" t="n">
        <v>24.9025296670566</v>
      </c>
      <c r="I78" s="16" t="n">
        <v>5.46252966705663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customFormat="false" ht="12.75" hidden="false" customHeight="true" outlineLevel="0" collapsed="false">
      <c r="A79" s="15" t="s">
        <v>85</v>
      </c>
      <c r="B79" s="16" t="n">
        <v>32.4</v>
      </c>
      <c r="C79" s="16" t="n">
        <v>19.44</v>
      </c>
      <c r="D79" s="16" t="n">
        <v>24.9025296670566</v>
      </c>
      <c r="E79" s="16" t="n">
        <v>6.87</v>
      </c>
      <c r="F79" s="16" t="n">
        <v>0</v>
      </c>
      <c r="G79" s="16" t="n">
        <v>7.25421988901889</v>
      </c>
      <c r="H79" s="16" t="n">
        <v>25.2867495560755</v>
      </c>
      <c r="I79" s="16" t="n">
        <v>5.84674955607552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customFormat="false" ht="12.75" hidden="false" customHeight="true" outlineLevel="0" collapsed="false">
      <c r="A80" s="15" t="s">
        <v>86</v>
      </c>
      <c r="B80" s="16" t="n">
        <v>32.4</v>
      </c>
      <c r="C80" s="16" t="n">
        <v>19.44</v>
      </c>
      <c r="D80" s="16" t="n">
        <v>25.2867495560755</v>
      </c>
      <c r="E80" s="16" t="n">
        <v>6.042</v>
      </c>
      <c r="F80" s="16" t="n">
        <v>0</v>
      </c>
      <c r="G80" s="16" t="n">
        <v>7.25421988901889</v>
      </c>
      <c r="H80" s="16" t="n">
        <v>26.4989694450944</v>
      </c>
      <c r="I80" s="16" t="n">
        <v>7.05896944509442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customFormat="false" ht="12.75" hidden="false" customHeight="true" outlineLevel="0" collapsed="false">
      <c r="A81" s="15" t="s">
        <v>87</v>
      </c>
      <c r="B81" s="16" t="n">
        <v>32.4</v>
      </c>
      <c r="C81" s="16" t="n">
        <v>19.44</v>
      </c>
      <c r="D81" s="16" t="n">
        <v>26.4989694450944</v>
      </c>
      <c r="E81" s="16" t="n">
        <v>4.66</v>
      </c>
      <c r="F81" s="16" t="n">
        <v>0.363421</v>
      </c>
      <c r="G81" s="16" t="n">
        <v>0</v>
      </c>
      <c r="H81" s="16" t="n">
        <v>22.2023904450944</v>
      </c>
      <c r="I81" s="16" t="n">
        <v>2.76239044509441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customFormat="false" ht="12.75" hidden="false" customHeight="true" outlineLevel="0" collapsed="false">
      <c r="A82" s="15" t="s">
        <v>88</v>
      </c>
      <c r="B82" s="16" t="n">
        <v>32.4</v>
      </c>
      <c r="C82" s="16" t="n">
        <v>19.44</v>
      </c>
      <c r="D82" s="16" t="n">
        <v>22.2023904450944</v>
      </c>
      <c r="E82" s="16" t="n">
        <v>3.11</v>
      </c>
      <c r="F82" s="16" t="n">
        <v>1.6</v>
      </c>
      <c r="G82" s="16" t="n">
        <v>0</v>
      </c>
      <c r="H82" s="16" t="n">
        <v>20.6923904450944</v>
      </c>
      <c r="I82" s="16" t="n">
        <v>1.25239044509441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customFormat="false" ht="12.75" hidden="false" customHeight="true" outlineLevel="0" collapsed="false">
      <c r="A83" s="15" t="s">
        <v>89</v>
      </c>
      <c r="B83" s="16" t="n">
        <v>32.4</v>
      </c>
      <c r="C83" s="16" t="n">
        <v>19.44</v>
      </c>
      <c r="D83" s="16" t="n">
        <v>20.6923904450944</v>
      </c>
      <c r="E83" s="16" t="n">
        <v>2.598</v>
      </c>
      <c r="F83" s="16" t="n">
        <v>9.4</v>
      </c>
      <c r="G83" s="16" t="n">
        <v>0</v>
      </c>
      <c r="H83" s="16" t="n">
        <v>27.4943904450944</v>
      </c>
      <c r="I83" s="16" t="n">
        <v>8.05439044509441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customFormat="false" ht="12.75" hidden="false" customHeight="true" outlineLevel="0" collapsed="false">
      <c r="A84" s="15" t="s">
        <v>90</v>
      </c>
      <c r="B84" s="16" t="n">
        <v>32.4</v>
      </c>
      <c r="C84" s="16" t="n">
        <v>19.44</v>
      </c>
      <c r="D84" s="16" t="n">
        <v>27.4943904450944</v>
      </c>
      <c r="E84" s="16" t="n">
        <v>1.799</v>
      </c>
      <c r="F84" s="16" t="n">
        <v>4.10512</v>
      </c>
      <c r="G84" s="16" t="n">
        <v>0</v>
      </c>
      <c r="H84" s="16" t="n">
        <v>29.8005104450944</v>
      </c>
      <c r="I84" s="16" t="n">
        <v>10.3605104450944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customFormat="false" ht="12.75" hidden="false" customHeight="true" outlineLevel="0" collapsed="false">
      <c r="A85" s="15" t="s">
        <v>91</v>
      </c>
      <c r="B85" s="16" t="n">
        <v>32.4</v>
      </c>
      <c r="C85" s="16" t="n">
        <v>19.44</v>
      </c>
      <c r="D85" s="16" t="n">
        <v>29.8005104450944</v>
      </c>
      <c r="E85" s="16" t="n">
        <v>2.203</v>
      </c>
      <c r="F85" s="16" t="n">
        <v>7.58363</v>
      </c>
      <c r="G85" s="16" t="n">
        <v>0</v>
      </c>
      <c r="H85" s="16" t="n">
        <v>35.1811404450944</v>
      </c>
      <c r="I85" s="16" t="n">
        <v>15.7411404450944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customFormat="false" ht="12.75" hidden="false" customHeight="true" outlineLevel="0" collapsed="false">
      <c r="A86" s="15" t="s">
        <v>92</v>
      </c>
      <c r="B86" s="16" t="n">
        <v>32.4</v>
      </c>
      <c r="C86" s="16" t="n">
        <v>19.44</v>
      </c>
      <c r="D86" s="16" t="n">
        <v>32.4</v>
      </c>
      <c r="E86" s="16" t="n">
        <v>1.965</v>
      </c>
      <c r="F86" s="16" t="n">
        <v>35.8243</v>
      </c>
      <c r="G86" s="16" t="n">
        <v>0</v>
      </c>
      <c r="H86" s="16" t="n">
        <v>66.2593</v>
      </c>
      <c r="I86" s="16" t="n">
        <v>46.8193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customFormat="false" ht="12.75" hidden="false" customHeight="true" outlineLevel="0" collapsed="false">
      <c r="A87" s="15" t="s">
        <v>93</v>
      </c>
      <c r="B87" s="16" t="n">
        <v>32.4</v>
      </c>
      <c r="C87" s="16" t="n">
        <v>19.44</v>
      </c>
      <c r="D87" s="16" t="n">
        <v>32.4</v>
      </c>
      <c r="E87" s="16" t="n">
        <v>1.986</v>
      </c>
      <c r="F87" s="16" t="n">
        <v>5.71416</v>
      </c>
      <c r="G87" s="16" t="n">
        <v>0</v>
      </c>
      <c r="H87" s="16" t="n">
        <v>36.12816</v>
      </c>
      <c r="I87" s="16" t="n">
        <v>16.68816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customFormat="false" ht="12.75" hidden="false" customHeight="true" outlineLevel="0" collapsed="false">
      <c r="A88" s="15" t="s">
        <v>94</v>
      </c>
      <c r="B88" s="16" t="n">
        <v>32.4</v>
      </c>
      <c r="C88" s="16" t="n">
        <v>19.44</v>
      </c>
      <c r="D88" s="16" t="n">
        <v>32.4</v>
      </c>
      <c r="E88" s="16" t="n">
        <v>3.831</v>
      </c>
      <c r="F88" s="16" t="n">
        <v>0.4</v>
      </c>
      <c r="G88" s="16" t="n">
        <v>0</v>
      </c>
      <c r="H88" s="16" t="n">
        <v>28.969</v>
      </c>
      <c r="I88" s="16" t="n">
        <v>9.529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customFormat="false" ht="12.75" hidden="false" customHeight="true" outlineLevel="0" collapsed="false">
      <c r="A89" s="15" t="s">
        <v>95</v>
      </c>
      <c r="B89" s="16" t="n">
        <v>32.4</v>
      </c>
      <c r="C89" s="16" t="n">
        <v>19.44</v>
      </c>
      <c r="D89" s="16" t="n">
        <v>28.969</v>
      </c>
      <c r="E89" s="16" t="n">
        <v>3.187</v>
      </c>
      <c r="F89" s="16" t="n">
        <v>0.8</v>
      </c>
      <c r="G89" s="16" t="n">
        <v>0</v>
      </c>
      <c r="H89" s="16" t="n">
        <v>26.582</v>
      </c>
      <c r="I89" s="16" t="n">
        <v>7.14199999999998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customFormat="false" ht="12.75" hidden="false" customHeight="true" outlineLevel="0" collapsed="false">
      <c r="A90" s="15" t="s">
        <v>96</v>
      </c>
      <c r="B90" s="16" t="n">
        <v>32.4</v>
      </c>
      <c r="C90" s="16" t="n">
        <v>19.44</v>
      </c>
      <c r="D90" s="16" t="n">
        <v>26.582</v>
      </c>
      <c r="E90" s="16" t="n">
        <v>3.575</v>
      </c>
      <c r="F90" s="16" t="n">
        <v>0</v>
      </c>
      <c r="G90" s="16" t="n">
        <v>7.25421988901889</v>
      </c>
      <c r="H90" s="16" t="n">
        <v>30.2612198890189</v>
      </c>
      <c r="I90" s="16" t="n">
        <v>10.8212198890189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customFormat="false" ht="12.75" hidden="false" customHeight="true" outlineLevel="0" collapsed="false">
      <c r="A91" s="15" t="s">
        <v>97</v>
      </c>
      <c r="B91" s="16" t="n">
        <v>32.4</v>
      </c>
      <c r="C91" s="16" t="n">
        <v>19.44</v>
      </c>
      <c r="D91" s="16" t="n">
        <v>30.2612198890189</v>
      </c>
      <c r="E91" s="16" t="n">
        <v>4.023</v>
      </c>
      <c r="F91" s="16" t="n">
        <v>0</v>
      </c>
      <c r="G91" s="16" t="n">
        <v>0</v>
      </c>
      <c r="H91" s="16" t="n">
        <v>26.2382198890189</v>
      </c>
      <c r="I91" s="16" t="n">
        <v>6.79821988901886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customFormat="false" ht="12.75" hidden="false" customHeight="true" outlineLevel="0" collapsed="false">
      <c r="A92" s="15" t="s">
        <v>98</v>
      </c>
      <c r="B92" s="16" t="n">
        <v>32.4</v>
      </c>
      <c r="C92" s="16" t="n">
        <v>19.44</v>
      </c>
      <c r="D92" s="16" t="n">
        <v>26.2382198890189</v>
      </c>
      <c r="E92" s="16" t="n">
        <v>4.79</v>
      </c>
      <c r="F92" s="16" t="n">
        <v>1.53652</v>
      </c>
      <c r="G92" s="16" t="n">
        <v>0</v>
      </c>
      <c r="H92" s="16" t="n">
        <v>22.9847398890189</v>
      </c>
      <c r="I92" s="16" t="n">
        <v>3.54473988901886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customFormat="false" ht="12.75" hidden="false" customHeight="true" outlineLevel="0" collapsed="false">
      <c r="A93" s="15" t="s">
        <v>99</v>
      </c>
      <c r="B93" s="16" t="n">
        <v>32.4</v>
      </c>
      <c r="C93" s="16" t="n">
        <v>19.44</v>
      </c>
      <c r="D93" s="16" t="n">
        <v>22.9847398890189</v>
      </c>
      <c r="E93" s="16" t="n">
        <v>3.283</v>
      </c>
      <c r="F93" s="16" t="n">
        <v>1</v>
      </c>
      <c r="G93" s="16" t="n">
        <v>0</v>
      </c>
      <c r="H93" s="16" t="n">
        <v>20.7017398890189</v>
      </c>
      <c r="I93" s="16" t="n">
        <v>1.26173988901886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customFormat="false" ht="12.75" hidden="false" customHeight="true" outlineLevel="0" collapsed="false">
      <c r="A94" s="15" t="n">
        <v>45292</v>
      </c>
      <c r="B94" s="16" t="n">
        <v>32.4</v>
      </c>
      <c r="C94" s="16" t="n">
        <v>19.44</v>
      </c>
      <c r="D94" s="16" t="n">
        <v>20.7017398890189</v>
      </c>
      <c r="E94" s="16" t="n">
        <v>1.781</v>
      </c>
      <c r="F94" s="16" t="n">
        <v>7.85374</v>
      </c>
      <c r="G94" s="16" t="n">
        <v>0</v>
      </c>
      <c r="H94" s="16" t="n">
        <v>26.7744798890189</v>
      </c>
      <c r="I94" s="16" t="n">
        <v>7.33447988901886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customFormat="false" ht="12.75" hidden="false" customHeight="true" outlineLevel="0" collapsed="false">
      <c r="A95" s="15" t="n">
        <v>45323</v>
      </c>
      <c r="B95" s="16" t="n">
        <v>32.4</v>
      </c>
      <c r="C95" s="16" t="n">
        <v>19.44</v>
      </c>
      <c r="D95" s="16" t="n">
        <v>26.7744798890189</v>
      </c>
      <c r="E95" s="16" t="n">
        <v>1.463</v>
      </c>
      <c r="F95" s="16" t="n">
        <v>120.2</v>
      </c>
      <c r="G95" s="16" t="n">
        <v>0</v>
      </c>
      <c r="H95" s="16" t="n">
        <v>145.511479889019</v>
      </c>
      <c r="I95" s="16" t="n">
        <v>126.071479889019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customFormat="false" ht="12.75" hidden="false" customHeight="true" outlineLevel="0" collapsed="false">
      <c r="A96" s="15" t="n">
        <v>45352</v>
      </c>
      <c r="B96" s="16" t="n">
        <v>32.4</v>
      </c>
      <c r="C96" s="16" t="n">
        <v>19.44</v>
      </c>
      <c r="D96" s="16" t="n">
        <v>32.4</v>
      </c>
      <c r="E96" s="16" t="n">
        <v>1.192</v>
      </c>
      <c r="F96" s="16" t="n">
        <v>24.9564</v>
      </c>
      <c r="G96" s="16" t="n">
        <v>0</v>
      </c>
      <c r="H96" s="16" t="n">
        <v>56.1644</v>
      </c>
      <c r="I96" s="16" t="n">
        <v>36.7244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customFormat="false" ht="12.75" hidden="false" customHeight="true" outlineLevel="0" collapsed="false">
      <c r="A97" s="15" t="n">
        <v>45383</v>
      </c>
      <c r="B97" s="16" t="n">
        <v>32.4</v>
      </c>
      <c r="C97" s="16" t="n">
        <v>19.44</v>
      </c>
      <c r="D97" s="16" t="n">
        <v>32.4</v>
      </c>
      <c r="E97" s="16" t="n">
        <v>2.221</v>
      </c>
      <c r="F97" s="16" t="n">
        <v>4.50907</v>
      </c>
      <c r="G97" s="16" t="n">
        <v>0</v>
      </c>
      <c r="H97" s="16" t="n">
        <v>34.68807</v>
      </c>
      <c r="I97" s="16" t="n">
        <v>15.24807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customFormat="false" ht="12.75" hidden="false" customHeight="true" outlineLevel="0" collapsed="false">
      <c r="A98" s="15" t="n">
        <v>45413</v>
      </c>
      <c r="B98" s="16" t="n">
        <v>32.4</v>
      </c>
      <c r="C98" s="16" t="n">
        <v>19.44</v>
      </c>
      <c r="D98" s="16" t="n">
        <v>32.4</v>
      </c>
      <c r="E98" s="16" t="n">
        <v>1.69</v>
      </c>
      <c r="F98" s="16" t="n">
        <v>1.8</v>
      </c>
      <c r="G98" s="16" t="n">
        <v>0</v>
      </c>
      <c r="H98" s="16" t="n">
        <v>32.51</v>
      </c>
      <c r="I98" s="16" t="n">
        <v>13.07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customFormat="false" ht="12.75" hidden="false" customHeight="true" outlineLevel="0" collapsed="false">
      <c r="A99" s="15" t="n">
        <v>45444</v>
      </c>
      <c r="B99" s="16" t="n">
        <v>32.4</v>
      </c>
      <c r="C99" s="16" t="n">
        <v>19.44</v>
      </c>
      <c r="D99" s="16" t="n">
        <v>32.4</v>
      </c>
      <c r="E99" s="16" t="n">
        <v>2.911</v>
      </c>
      <c r="F99" s="16" t="n">
        <v>20.4</v>
      </c>
      <c r="G99" s="16" t="n">
        <v>0</v>
      </c>
      <c r="H99" s="16" t="n">
        <v>49.889</v>
      </c>
      <c r="I99" s="16" t="n">
        <v>30.449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customFormat="false" ht="12.75" hidden="false" customHeight="true" outlineLevel="0" collapsed="false">
      <c r="A100" s="15" t="n">
        <v>45474</v>
      </c>
      <c r="B100" s="16" t="n">
        <v>32.4</v>
      </c>
      <c r="C100" s="16" t="n">
        <v>19.44</v>
      </c>
      <c r="D100" s="16" t="n">
        <v>32.4</v>
      </c>
      <c r="E100" s="16" t="n">
        <v>3.423</v>
      </c>
      <c r="F100" s="16" t="n">
        <v>0</v>
      </c>
      <c r="G100" s="16" t="n">
        <v>0</v>
      </c>
      <c r="H100" s="16" t="n">
        <v>28.977</v>
      </c>
      <c r="I100" s="16" t="n">
        <v>9.537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customFormat="false" ht="12.75" hidden="false" customHeight="true" outlineLevel="0" collapsed="false">
      <c r="A101" s="15" t="n">
        <v>45505</v>
      </c>
      <c r="B101" s="16" t="n">
        <v>32.4</v>
      </c>
      <c r="C101" s="16" t="n">
        <v>19.44</v>
      </c>
      <c r="D101" s="16" t="n">
        <v>28.977</v>
      </c>
      <c r="E101" s="16" t="n">
        <v>1.451</v>
      </c>
      <c r="F101" s="16" t="n">
        <v>3</v>
      </c>
      <c r="G101" s="16" t="n">
        <v>0</v>
      </c>
      <c r="H101" s="16" t="n">
        <v>30.526</v>
      </c>
      <c r="I101" s="16" t="n">
        <v>11.086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customFormat="false" ht="12.75" hidden="false" customHeight="true" outlineLevel="0" collapsed="false">
      <c r="A102" s="15" t="n">
        <v>45536</v>
      </c>
      <c r="B102" s="16" t="n">
        <v>37.8</v>
      </c>
      <c r="C102" s="16" t="n">
        <v>18.9</v>
      </c>
      <c r="D102" s="16" t="n">
        <v>30.526</v>
      </c>
      <c r="E102" s="16" t="n">
        <v>0.951</v>
      </c>
      <c r="F102" s="16" t="n">
        <v>24.6</v>
      </c>
      <c r="G102" s="16" t="n">
        <v>0</v>
      </c>
      <c r="H102" s="16" t="n">
        <v>54.175</v>
      </c>
      <c r="I102" s="16" t="n">
        <v>35.275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customFormat="false" ht="12.75" hidden="false" customHeight="true" outlineLevel="0" collapsed="false">
      <c r="A103" s="15" t="n">
        <v>45566</v>
      </c>
      <c r="B103" s="16" t="n">
        <v>37.8</v>
      </c>
      <c r="C103" s="16" t="n">
        <v>18.9</v>
      </c>
      <c r="D103" s="16" t="n">
        <v>37.8</v>
      </c>
      <c r="E103" s="16" t="n">
        <v>1.388</v>
      </c>
      <c r="F103" s="16" t="n">
        <v>10.6</v>
      </c>
      <c r="G103" s="16" t="n">
        <v>0</v>
      </c>
      <c r="H103" s="16" t="n">
        <v>47.012</v>
      </c>
      <c r="I103" s="16" t="n">
        <v>28.112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customFormat="false" ht="12.75" hidden="false" customHeight="true" outlineLevel="0" collapsed="false">
      <c r="A104" s="15" t="n">
        <v>45597</v>
      </c>
      <c r="B104" s="16" t="n">
        <v>37.8</v>
      </c>
      <c r="C104" s="16" t="n">
        <v>18.9</v>
      </c>
      <c r="D104" s="16" t="n">
        <v>37.8</v>
      </c>
      <c r="E104" s="16" t="n">
        <v>2.285</v>
      </c>
      <c r="F104" s="16" t="n">
        <v>4.8</v>
      </c>
      <c r="G104" s="16" t="n">
        <v>0</v>
      </c>
      <c r="H104" s="16" t="n">
        <v>40.315</v>
      </c>
      <c r="I104" s="16" t="n">
        <v>21.415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customFormat="false" ht="12.75" hidden="false" customHeight="true" outlineLevel="0" collapsed="false">
      <c r="A105" s="15" t="n">
        <v>45627</v>
      </c>
      <c r="B105" s="16" t="n">
        <v>37.8</v>
      </c>
      <c r="C105" s="16" t="n">
        <v>18.9</v>
      </c>
      <c r="D105" s="16" t="n">
        <v>37.8</v>
      </c>
      <c r="E105" s="16" t="n">
        <v>1.997</v>
      </c>
      <c r="F105" s="16" t="n">
        <v>5.45367</v>
      </c>
      <c r="G105" s="16" t="n">
        <v>0</v>
      </c>
      <c r="H105" s="16" t="n">
        <v>41.25667</v>
      </c>
      <c r="I105" s="16" t="n">
        <v>22.35667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customFormat="false" ht="12.75" hidden="false" customHeight="true" outlineLevel="0" collapsed="false">
      <c r="A106" s="15" t="s">
        <v>112</v>
      </c>
      <c r="B106" s="16" t="n">
        <v>37.8</v>
      </c>
      <c r="C106" s="16" t="n">
        <v>18.9</v>
      </c>
      <c r="D106" s="16" t="n">
        <v>37.8</v>
      </c>
      <c r="E106" s="16" t="n">
        <v>1.316</v>
      </c>
      <c r="F106" s="16" t="n">
        <v>14.5782</v>
      </c>
      <c r="G106" s="16" t="n">
        <v>0</v>
      </c>
      <c r="H106" s="16" t="n">
        <v>51.0622</v>
      </c>
      <c r="I106" s="16" t="n">
        <v>32.1622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customFormat="false" ht="12.75" hidden="false" customHeight="true" outlineLevel="0" collapsed="false">
      <c r="A107" s="15" t="s">
        <v>113</v>
      </c>
      <c r="B107" s="16" t="n">
        <v>37.8</v>
      </c>
      <c r="C107" s="16" t="n">
        <v>18.9</v>
      </c>
      <c r="D107" s="16" t="n">
        <v>37.8</v>
      </c>
      <c r="E107" s="16" t="n">
        <v>2.2</v>
      </c>
      <c r="F107" s="16" t="n">
        <v>1.00652</v>
      </c>
      <c r="G107" s="16" t="n">
        <v>0</v>
      </c>
      <c r="H107" s="16" t="n">
        <v>36.60652</v>
      </c>
      <c r="I107" s="16" t="n">
        <v>17.70652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customFormat="false" ht="12.75" hidden="false" customHeight="true" outlineLevel="0" collapsed="false">
      <c r="A108" s="15" t="s">
        <v>114</v>
      </c>
      <c r="B108" s="16" t="n">
        <v>37.8</v>
      </c>
      <c r="C108" s="16" t="n">
        <v>18.9</v>
      </c>
      <c r="D108" s="16" t="n">
        <v>36.60652</v>
      </c>
      <c r="E108" s="16" t="n">
        <v>1.387</v>
      </c>
      <c r="F108" s="16" t="n">
        <v>18.4</v>
      </c>
      <c r="G108" s="16" t="n">
        <v>0</v>
      </c>
      <c r="H108" s="16" t="n">
        <v>53.6195199999999</v>
      </c>
      <c r="I108" s="16" t="n">
        <v>34.7195199999999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customFormat="false" ht="12.75" hidden="false" customHeight="true" outlineLevel="0" collapsed="false">
      <c r="A109" s="15" t="s">
        <v>115</v>
      </c>
      <c r="B109" s="16" t="n">
        <v>37.8</v>
      </c>
      <c r="C109" s="16" t="n">
        <v>18.9</v>
      </c>
      <c r="D109" s="16" t="n">
        <v>37.8</v>
      </c>
      <c r="E109" s="16" t="n">
        <v>1.727</v>
      </c>
      <c r="F109" s="16" t="n">
        <v>4.86931</v>
      </c>
      <c r="G109" s="16" t="n">
        <v>0</v>
      </c>
      <c r="H109" s="16" t="n">
        <v>40.94231</v>
      </c>
      <c r="I109" s="16" t="n">
        <v>22.04231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customFormat="false" ht="12.75" hidden="false" customHeight="true" outlineLevel="0" collapsed="false">
      <c r="A110" s="15" t="s">
        <v>116</v>
      </c>
      <c r="B110" s="16" t="n">
        <v>37.8</v>
      </c>
      <c r="C110" s="16" t="n">
        <v>18.9</v>
      </c>
      <c r="D110" s="16" t="n">
        <v>37.8</v>
      </c>
      <c r="E110" s="16" t="n">
        <v>1.954</v>
      </c>
      <c r="F110" s="16" t="n">
        <v>0</v>
      </c>
      <c r="G110" s="16" t="n">
        <v>0</v>
      </c>
      <c r="H110" s="16" t="n">
        <v>35.846</v>
      </c>
      <c r="I110" s="16" t="n">
        <v>16.946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customFormat="false" ht="12.75" hidden="false" customHeight="true" outlineLevel="0" collapsed="false">
      <c r="A111" s="15" t="s">
        <v>117</v>
      </c>
      <c r="B111" s="16" t="n">
        <v>37.8</v>
      </c>
      <c r="C111" s="16" t="n">
        <v>18.9</v>
      </c>
      <c r="D111" s="16" t="n">
        <v>35.846</v>
      </c>
      <c r="E111" s="16" t="n">
        <v>2.535</v>
      </c>
      <c r="F111" s="16" t="n">
        <v>1.59888</v>
      </c>
      <c r="G111" s="16" t="n">
        <v>0</v>
      </c>
      <c r="H111" s="16" t="n">
        <v>34.9098799999999</v>
      </c>
      <c r="I111" s="16" t="n">
        <v>16.0098799999999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customFormat="false" ht="12.75" hidden="false" customHeight="true" outlineLevel="0" collapsed="false">
      <c r="A112" s="15" t="s">
        <v>118</v>
      </c>
      <c r="B112" s="16" t="n">
        <v>37.8</v>
      </c>
      <c r="C112" s="16" t="n">
        <v>18.9</v>
      </c>
      <c r="D112" s="16" t="n">
        <v>34.9098799999999</v>
      </c>
      <c r="E112" s="16" t="n">
        <v>2.683</v>
      </c>
      <c r="F112" s="16" t="n">
        <v>0.310712</v>
      </c>
      <c r="G112" s="16" t="n">
        <v>0</v>
      </c>
      <c r="H112" s="16" t="n">
        <v>32.5375919999999</v>
      </c>
      <c r="I112" s="16" t="n">
        <v>13.6375919999999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customFormat="false" ht="12.75" hidden="false" customHeight="true" outlineLevel="0" collapsed="false">
      <c r="A113" s="15" t="s">
        <v>119</v>
      </c>
      <c r="B113" s="16" t="n">
        <v>37.8</v>
      </c>
      <c r="C113" s="16" t="n">
        <v>18.9</v>
      </c>
      <c r="D113" s="16" t="n">
        <v>32.5375919999999</v>
      </c>
      <c r="E113" s="16" t="n">
        <v>2.672</v>
      </c>
      <c r="F113" s="16" t="n">
        <v>0</v>
      </c>
      <c r="G113" s="16" t="n">
        <v>0</v>
      </c>
      <c r="H113" s="16" t="n">
        <v>29.8655919999999</v>
      </c>
      <c r="I113" s="16" t="n">
        <v>10.9655919999999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customFormat="false" ht="12.75" hidden="false" customHeight="true" outlineLevel="0" collapsed="false">
      <c r="A114" s="15" t="s">
        <v>120</v>
      </c>
      <c r="B114" s="16" t="n">
        <v>37.8</v>
      </c>
      <c r="C114" s="16" t="n">
        <v>18.9</v>
      </c>
      <c r="D114" s="16" t="n">
        <v>29.8655919999999</v>
      </c>
      <c r="E114" s="16" t="n">
        <v>3.079</v>
      </c>
      <c r="F114" s="16" t="n">
        <v>0.0586125</v>
      </c>
      <c r="G114" s="16" t="n">
        <v>0</v>
      </c>
      <c r="H114" s="16" t="n">
        <v>26.8452044999999</v>
      </c>
      <c r="I114" s="16" t="n">
        <v>7.94520449999992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customFormat="false" ht="12.75" hidden="false" customHeight="true" outlineLevel="0" collapsed="false">
      <c r="A115" s="15" t="s">
        <v>121</v>
      </c>
      <c r="B115" s="16" t="n">
        <v>37.8</v>
      </c>
      <c r="C115" s="16" t="n">
        <v>18.9</v>
      </c>
      <c r="D115" s="16" t="n">
        <v>26.8452044999999</v>
      </c>
      <c r="E115" s="16" t="n">
        <v>1.751</v>
      </c>
      <c r="F115" s="16" t="n">
        <v>2.4</v>
      </c>
      <c r="G115" s="16" t="n">
        <v>0</v>
      </c>
      <c r="H115" s="16" t="n">
        <v>27.4942044999999</v>
      </c>
      <c r="I115" s="16" t="n">
        <v>8.59420449999993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customFormat="false" ht="12.75" hidden="false" customHeight="true" outlineLevel="0" collapsed="false">
      <c r="A116" s="15" t="s">
        <v>122</v>
      </c>
      <c r="B116" s="16" t="n">
        <v>37.8</v>
      </c>
      <c r="C116" s="16" t="n">
        <v>18.9</v>
      </c>
      <c r="D116" s="16" t="n">
        <v>27.4942044999999</v>
      </c>
      <c r="E116" s="16" t="n">
        <v>1.351</v>
      </c>
      <c r="F116" s="16" t="n">
        <v>2.6</v>
      </c>
      <c r="G116" s="16" t="n">
        <v>0</v>
      </c>
      <c r="H116" s="16" t="n">
        <v>28.7432044999999</v>
      </c>
      <c r="I116" s="16" t="n">
        <v>9.84320449999992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customFormat="false" ht="12.75" hidden="false" customHeight="true" outlineLevel="0" collapsed="false">
      <c r="A117" s="15" t="s">
        <v>123</v>
      </c>
      <c r="B117" s="16" t="n">
        <v>37.8</v>
      </c>
      <c r="C117" s="16" t="n">
        <v>18.9</v>
      </c>
      <c r="D117" s="16" t="n">
        <v>28.7432044999999</v>
      </c>
      <c r="E117" s="16" t="n">
        <v>1.103</v>
      </c>
      <c r="F117" s="16" t="n">
        <v>0.6</v>
      </c>
      <c r="G117" s="16" t="n">
        <v>0</v>
      </c>
      <c r="H117" s="16" t="n">
        <v>28.2402044999999</v>
      </c>
      <c r="I117" s="16" t="n">
        <v>9.34020449999992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customFormat="false" ht="12.75" hidden="false" customHeight="true" outlineLevel="0" collapsed="false">
      <c r="A118" s="15" t="s">
        <v>124</v>
      </c>
      <c r="B118" s="16" t="n">
        <v>37.8</v>
      </c>
      <c r="C118" s="16" t="n">
        <v>18.9</v>
      </c>
      <c r="D118" s="16" t="n">
        <v>28.2402044999999</v>
      </c>
      <c r="E118" s="16" t="n">
        <v>1.271</v>
      </c>
      <c r="F118" s="16" t="n">
        <v>18.6</v>
      </c>
      <c r="G118" s="16" t="n">
        <v>0</v>
      </c>
      <c r="H118" s="16" t="n">
        <v>45.5692044999999</v>
      </c>
      <c r="I118" s="16" t="n">
        <v>26.6692044999999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customFormat="false" ht="12.75" hidden="false" customHeight="true" outlineLevel="0" collapsed="false">
      <c r="A119" s="15" t="s">
        <v>125</v>
      </c>
      <c r="B119" s="16" t="n">
        <v>37.8</v>
      </c>
      <c r="C119" s="16" t="n">
        <v>18.9</v>
      </c>
      <c r="D119" s="16" t="n">
        <v>37.8</v>
      </c>
      <c r="E119" s="16" t="n">
        <v>0.97</v>
      </c>
      <c r="F119" s="16" t="n">
        <v>1.42757</v>
      </c>
      <c r="G119" s="16" t="n">
        <v>0</v>
      </c>
      <c r="H119" s="16" t="n">
        <v>38.25757</v>
      </c>
      <c r="I119" s="16" t="n">
        <v>19.35757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customFormat="false" ht="12.75" hidden="false" customHeight="true" outlineLevel="0" collapsed="false">
      <c r="A120" s="15" t="s">
        <v>126</v>
      </c>
      <c r="B120" s="16" t="n">
        <v>37.8</v>
      </c>
      <c r="C120" s="16" t="n">
        <v>18.9</v>
      </c>
      <c r="D120" s="16" t="n">
        <v>37.8</v>
      </c>
      <c r="E120" s="16" t="n">
        <v>1.64</v>
      </c>
      <c r="F120" s="16" t="n">
        <v>24</v>
      </c>
      <c r="G120" s="16" t="n">
        <v>0</v>
      </c>
      <c r="H120" s="16" t="n">
        <v>60.16</v>
      </c>
      <c r="I120" s="16" t="n">
        <v>41.26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customFormat="false" ht="12.75" hidden="false" customHeight="true" outlineLevel="0" collapsed="false">
      <c r="A121" s="15" t="s">
        <v>127</v>
      </c>
      <c r="B121" s="16" t="n">
        <v>37.8</v>
      </c>
      <c r="C121" s="16" t="n">
        <v>18.9</v>
      </c>
      <c r="D121" s="16" t="n">
        <v>37.8</v>
      </c>
      <c r="E121" s="16" t="n">
        <v>1.337</v>
      </c>
      <c r="F121" s="16" t="n">
        <v>4.82482</v>
      </c>
      <c r="G121" s="16" t="n">
        <v>0</v>
      </c>
      <c r="H121" s="16" t="n">
        <v>41.28782</v>
      </c>
      <c r="I121" s="16" t="n">
        <v>22.38782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customFormat="false" ht="12.75" hidden="false" customHeight="true" outlineLevel="0" collapsed="false">
      <c r="A122" s="15"/>
      <c r="B122" s="16"/>
      <c r="C122" s="16"/>
      <c r="D122" s="16"/>
      <c r="E122" s="16"/>
      <c r="F122" s="16"/>
      <c r="G122" s="16"/>
      <c r="H122" s="16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customFormat="false" ht="12.75" hidden="false" customHeight="true" outlineLevel="0" collapsed="false">
      <c r="A123" s="15"/>
      <c r="B123" s="16"/>
      <c r="C123" s="16"/>
      <c r="D123" s="16"/>
      <c r="E123" s="16"/>
      <c r="F123" s="16"/>
      <c r="G123" s="16"/>
      <c r="H123" s="16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customFormat="false" ht="12.75" hidden="false" customHeight="true" outlineLevel="0" collapsed="false">
      <c r="A124" s="15"/>
      <c r="B124" s="16"/>
      <c r="C124" s="16"/>
      <c r="D124" s="16"/>
      <c r="E124" s="16"/>
      <c r="F124" s="16"/>
      <c r="G124" s="16"/>
      <c r="H124" s="16"/>
      <c r="I124" s="16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customFormat="false" ht="12.75" hidden="false" customHeight="true" outlineLevel="0" collapsed="false">
      <c r="A125" s="15"/>
      <c r="B125" s="16"/>
      <c r="C125" s="16"/>
      <c r="D125" s="16"/>
      <c r="E125" s="16"/>
      <c r="F125" s="16"/>
      <c r="G125" s="16"/>
      <c r="H125" s="16"/>
      <c r="I125" s="16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customFormat="false" ht="12.75" hidden="false" customHeight="true" outlineLevel="0" collapsed="false">
      <c r="A126" s="15"/>
      <c r="B126" s="16"/>
      <c r="C126" s="16"/>
      <c r="D126" s="16"/>
      <c r="E126" s="16"/>
      <c r="F126" s="16"/>
      <c r="G126" s="16"/>
      <c r="H126" s="16"/>
      <c r="I126" s="16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customFormat="false" ht="12.75" hidden="false" customHeight="true" outlineLevel="0" collapsed="false">
      <c r="A127" s="15"/>
      <c r="B127" s="16"/>
      <c r="C127" s="16"/>
      <c r="D127" s="16"/>
      <c r="E127" s="16"/>
      <c r="F127" s="16"/>
      <c r="G127" s="16"/>
      <c r="H127" s="16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customFormat="false" ht="12.75" hidden="false" customHeight="true" outlineLevel="0" collapsed="false">
      <c r="A128" s="15"/>
      <c r="B128" s="16"/>
      <c r="C128" s="16"/>
      <c r="D128" s="16"/>
      <c r="E128" s="16"/>
      <c r="F128" s="16"/>
      <c r="G128" s="16"/>
      <c r="H128" s="16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customFormat="false" ht="12.75" hidden="false" customHeight="true" outlineLevel="0" collapsed="false">
      <c r="A129" s="15"/>
      <c r="B129" s="16"/>
      <c r="C129" s="16"/>
      <c r="D129" s="16"/>
      <c r="E129" s="16"/>
      <c r="F129" s="16"/>
      <c r="G129" s="16"/>
      <c r="H129" s="16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customFormat="false" ht="12.75" hidden="false" customHeight="true" outlineLevel="0" collapsed="false">
      <c r="A130" s="15"/>
      <c r="B130" s="16"/>
      <c r="C130" s="16"/>
      <c r="D130" s="16"/>
      <c r="E130" s="16"/>
      <c r="F130" s="16"/>
      <c r="G130" s="16"/>
      <c r="H130" s="16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customFormat="false" ht="12.75" hidden="false" customHeight="true" outlineLevel="0" collapsed="false">
      <c r="A131" s="15"/>
      <c r="B131" s="16"/>
      <c r="C131" s="16"/>
      <c r="D131" s="16"/>
      <c r="E131" s="16"/>
      <c r="F131" s="16"/>
      <c r="G131" s="16"/>
      <c r="H131" s="16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customFormat="false" ht="12.75" hidden="false" customHeight="true" outlineLevel="0" collapsed="false">
      <c r="A132" s="15"/>
      <c r="B132" s="16"/>
      <c r="C132" s="16"/>
      <c r="D132" s="16"/>
      <c r="E132" s="16"/>
      <c r="F132" s="16"/>
      <c r="G132" s="16"/>
      <c r="H132" s="16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customFormat="false" ht="12.75" hidden="false" customHeight="true" outlineLevel="0" collapsed="false">
      <c r="A133" s="15"/>
      <c r="B133" s="16"/>
      <c r="C133" s="16"/>
      <c r="D133" s="16"/>
      <c r="E133" s="16"/>
      <c r="F133" s="16"/>
      <c r="G133" s="16"/>
      <c r="H133" s="16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customFormat="false" ht="12.75" hidden="false" customHeight="true" outlineLevel="0" collapsed="false">
      <c r="A134" s="15"/>
      <c r="B134" s="16"/>
      <c r="C134" s="16"/>
      <c r="D134" s="16"/>
      <c r="E134" s="16"/>
      <c r="F134" s="16"/>
      <c r="G134" s="16"/>
      <c r="H134" s="16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customFormat="false" ht="12.75" hidden="false" customHeight="true" outlineLevel="0" collapsed="false">
      <c r="A135" s="15"/>
      <c r="B135" s="16"/>
      <c r="C135" s="16"/>
      <c r="D135" s="16"/>
      <c r="E135" s="16"/>
      <c r="F135" s="16"/>
      <c r="G135" s="16"/>
      <c r="H135" s="16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customFormat="false" ht="12.75" hidden="false" customHeight="true" outlineLevel="0" collapsed="false">
      <c r="A136" s="15"/>
      <c r="B136" s="16"/>
      <c r="C136" s="16"/>
      <c r="D136" s="16"/>
      <c r="E136" s="16"/>
      <c r="F136" s="16"/>
      <c r="G136" s="16"/>
      <c r="H136" s="16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customFormat="false" ht="12.75" hidden="false" customHeight="true" outlineLevel="0" collapsed="false">
      <c r="A137" s="15"/>
      <c r="B137" s="16"/>
      <c r="C137" s="16"/>
      <c r="D137" s="16"/>
      <c r="E137" s="16"/>
      <c r="F137" s="16"/>
      <c r="G137" s="16"/>
      <c r="H137" s="16"/>
      <c r="I137" s="16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customFormat="false" ht="12.75" hidden="false" customHeight="true" outlineLevel="0" collapsed="false">
      <c r="A138" s="15"/>
      <c r="B138" s="16"/>
      <c r="C138" s="16"/>
      <c r="D138" s="16"/>
      <c r="E138" s="16"/>
      <c r="F138" s="16"/>
      <c r="G138" s="16"/>
      <c r="H138" s="16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customFormat="false" ht="12.75" hidden="false" customHeight="true" outlineLevel="0" collapsed="false">
      <c r="A139" s="15"/>
      <c r="B139" s="16"/>
      <c r="C139" s="16"/>
      <c r="D139" s="16"/>
      <c r="E139" s="16"/>
      <c r="F139" s="16"/>
      <c r="G139" s="16"/>
      <c r="H139" s="16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customFormat="false" ht="12.75" hidden="false" customHeight="true" outlineLevel="0" collapsed="false">
      <c r="A140" s="15"/>
      <c r="B140" s="16"/>
      <c r="C140" s="16"/>
      <c r="D140" s="16"/>
      <c r="E140" s="16"/>
      <c r="F140" s="16"/>
      <c r="G140" s="16"/>
      <c r="H140" s="16"/>
      <c r="I140" s="16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customFormat="false" ht="12.75" hidden="false" customHeight="true" outlineLevel="0" collapsed="false">
      <c r="A141" s="15"/>
      <c r="B141" s="16"/>
      <c r="C141" s="16"/>
      <c r="D141" s="16"/>
      <c r="E141" s="16"/>
      <c r="F141" s="16"/>
      <c r="G141" s="16"/>
      <c r="H141" s="16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customFormat="false" ht="12.75" hidden="false" customHeight="true" outlineLevel="0" collapsed="false">
      <c r="A142" s="15"/>
      <c r="B142" s="16"/>
      <c r="C142" s="16"/>
      <c r="D142" s="16"/>
      <c r="E142" s="16"/>
      <c r="F142" s="16"/>
      <c r="G142" s="16"/>
      <c r="H142" s="16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customFormat="false" ht="12.75" hidden="false" customHeight="true" outlineLevel="0" collapsed="false">
      <c r="A143" s="15"/>
      <c r="B143" s="16"/>
      <c r="C143" s="16"/>
      <c r="D143" s="16"/>
      <c r="E143" s="16"/>
      <c r="F143" s="16"/>
      <c r="G143" s="16"/>
      <c r="H143" s="16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customFormat="false" ht="12.75" hidden="false" customHeight="true" outlineLevel="0" collapsed="false">
      <c r="A144" s="15"/>
      <c r="B144" s="16"/>
      <c r="C144" s="16"/>
      <c r="D144" s="16"/>
      <c r="E144" s="16"/>
      <c r="F144" s="16"/>
      <c r="G144" s="16"/>
      <c r="H144" s="16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customFormat="false" ht="12.75" hidden="false" customHeight="true" outlineLevel="0" collapsed="false">
      <c r="A145" s="15"/>
      <c r="B145" s="16"/>
      <c r="C145" s="16"/>
      <c r="D145" s="16"/>
      <c r="E145" s="16"/>
      <c r="F145" s="16"/>
      <c r="G145" s="16"/>
      <c r="H145" s="16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customFormat="false" ht="12.75" hidden="false" customHeight="true" outlineLevel="0" collapsed="false">
      <c r="A146" s="15"/>
      <c r="B146" s="16"/>
      <c r="C146" s="16"/>
      <c r="D146" s="16"/>
      <c r="E146" s="16"/>
      <c r="F146" s="16"/>
      <c r="G146" s="16"/>
      <c r="H146" s="16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customFormat="false" ht="12.75" hidden="false" customHeight="true" outlineLevel="0" collapsed="false">
      <c r="A147" s="15"/>
      <c r="B147" s="16"/>
      <c r="C147" s="16"/>
      <c r="D147" s="16"/>
      <c r="E147" s="16"/>
      <c r="F147" s="16"/>
      <c r="G147" s="16"/>
      <c r="H147" s="16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customFormat="false" ht="12.75" hidden="false" customHeight="true" outlineLevel="0" collapsed="false">
      <c r="A148" s="15"/>
      <c r="B148" s="16"/>
      <c r="C148" s="16"/>
      <c r="D148" s="16"/>
      <c r="E148" s="16"/>
      <c r="F148" s="16"/>
      <c r="G148" s="16"/>
      <c r="H148" s="16"/>
      <c r="I148" s="16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customFormat="false" ht="12.75" hidden="false" customHeight="true" outlineLevel="0" collapsed="false">
      <c r="A149" s="15"/>
      <c r="B149" s="16"/>
      <c r="C149" s="16"/>
      <c r="D149" s="16"/>
      <c r="E149" s="16"/>
      <c r="F149" s="16"/>
      <c r="G149" s="16"/>
      <c r="H149" s="16"/>
      <c r="I149" s="16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customFormat="false" ht="12.75" hidden="false" customHeight="true" outlineLevel="0" collapsed="false">
      <c r="A150" s="15"/>
      <c r="B150" s="16"/>
      <c r="C150" s="16"/>
      <c r="D150" s="16"/>
      <c r="E150" s="16"/>
      <c r="F150" s="16"/>
      <c r="G150" s="16"/>
      <c r="H150" s="16"/>
      <c r="I150" s="16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customFormat="false" ht="12.75" hidden="false" customHeight="true" outlineLevel="0" collapsed="false">
      <c r="A151" s="15"/>
      <c r="B151" s="16"/>
      <c r="C151" s="16"/>
      <c r="D151" s="16"/>
      <c r="E151" s="16"/>
      <c r="F151" s="16"/>
      <c r="G151" s="16"/>
      <c r="H151" s="16"/>
      <c r="I151" s="16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customFormat="false" ht="12.75" hidden="false" customHeight="true" outlineLevel="0" collapsed="false">
      <c r="A152" s="15"/>
      <c r="B152" s="16"/>
      <c r="C152" s="16"/>
      <c r="D152" s="16"/>
      <c r="E152" s="16"/>
      <c r="F152" s="16"/>
      <c r="G152" s="16"/>
      <c r="H152" s="16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customFormat="false" ht="12.75" hidden="false" customHeight="true" outlineLevel="0" collapsed="false">
      <c r="A153" s="15"/>
      <c r="B153" s="16"/>
      <c r="C153" s="16"/>
      <c r="D153" s="16"/>
      <c r="E153" s="16"/>
      <c r="F153" s="16"/>
      <c r="G153" s="16"/>
      <c r="H153" s="16"/>
      <c r="I153" s="16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customFormat="false" ht="12.75" hidden="false" customHeight="true" outlineLevel="0" collapsed="false">
      <c r="A154" s="15"/>
      <c r="B154" s="16"/>
      <c r="C154" s="16"/>
      <c r="D154" s="16"/>
      <c r="E154" s="16"/>
      <c r="F154" s="16"/>
      <c r="G154" s="16"/>
      <c r="H154" s="16"/>
      <c r="I154" s="16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customFormat="false" ht="12.75" hidden="false" customHeight="true" outlineLevel="0" collapsed="false">
      <c r="A155" s="15"/>
      <c r="B155" s="16"/>
      <c r="C155" s="16"/>
      <c r="D155" s="16"/>
      <c r="E155" s="16"/>
      <c r="F155" s="16"/>
      <c r="G155" s="16"/>
      <c r="H155" s="16"/>
      <c r="I155" s="16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customFormat="false" ht="12.75" hidden="false" customHeight="true" outlineLevel="0" collapsed="false">
      <c r="A156" s="15"/>
      <c r="B156" s="16"/>
      <c r="C156" s="16"/>
      <c r="D156" s="16"/>
      <c r="E156" s="16"/>
      <c r="F156" s="16"/>
      <c r="G156" s="16"/>
      <c r="H156" s="16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customFormat="false" ht="12.75" hidden="false" customHeight="true" outlineLevel="0" collapsed="false">
      <c r="A157" s="15"/>
      <c r="B157" s="16"/>
      <c r="C157" s="16"/>
      <c r="D157" s="16"/>
      <c r="E157" s="16"/>
      <c r="F157" s="16"/>
      <c r="G157" s="16"/>
      <c r="H157" s="16"/>
      <c r="I157" s="16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customFormat="false" ht="12.75" hidden="false" customHeight="true" outlineLevel="0" collapsed="false">
      <c r="A158" s="15"/>
      <c r="B158" s="16"/>
      <c r="C158" s="16"/>
      <c r="D158" s="16"/>
      <c r="E158" s="16"/>
      <c r="F158" s="16"/>
      <c r="G158" s="16"/>
      <c r="H158" s="16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customFormat="false" ht="12.75" hidden="false" customHeight="true" outlineLevel="0" collapsed="false">
      <c r="A159" s="15"/>
      <c r="B159" s="16"/>
      <c r="C159" s="16"/>
      <c r="D159" s="16"/>
      <c r="E159" s="16"/>
      <c r="F159" s="16"/>
      <c r="G159" s="16"/>
      <c r="H159" s="16"/>
      <c r="I159" s="16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customFormat="false" ht="12.75" hidden="false" customHeight="true" outlineLevel="0" collapsed="false">
      <c r="A160" s="15"/>
      <c r="B160" s="16"/>
      <c r="C160" s="16"/>
      <c r="D160" s="16"/>
      <c r="E160" s="16"/>
      <c r="F160" s="16"/>
      <c r="G160" s="16"/>
      <c r="H160" s="16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customFormat="false" ht="12.75" hidden="false" customHeight="true" outlineLevel="0" collapsed="false">
      <c r="A161" s="15"/>
      <c r="B161" s="16"/>
      <c r="C161" s="16"/>
      <c r="D161" s="16"/>
      <c r="E161" s="16"/>
      <c r="F161" s="16"/>
      <c r="G161" s="16"/>
      <c r="H161" s="16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customFormat="false" ht="12.75" hidden="false" customHeight="true" outlineLevel="0" collapsed="false">
      <c r="A162" s="15"/>
      <c r="B162" s="16"/>
      <c r="C162" s="16"/>
      <c r="D162" s="16"/>
      <c r="E162" s="16"/>
      <c r="F162" s="16"/>
      <c r="G162" s="16"/>
      <c r="H162" s="16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customFormat="false" ht="12.75" hidden="false" customHeight="true" outlineLevel="0" collapsed="false">
      <c r="A163" s="15"/>
      <c r="B163" s="16"/>
      <c r="C163" s="16"/>
      <c r="D163" s="16"/>
      <c r="E163" s="16"/>
      <c r="F163" s="16"/>
      <c r="G163" s="16"/>
      <c r="H163" s="16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customFormat="false" ht="12.75" hidden="false" customHeight="true" outlineLevel="0" collapsed="false">
      <c r="A164" s="15"/>
      <c r="B164" s="16"/>
      <c r="C164" s="16"/>
      <c r="D164" s="16"/>
      <c r="E164" s="16"/>
      <c r="F164" s="16"/>
      <c r="G164" s="16"/>
      <c r="H164" s="16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customFormat="false" ht="12.75" hidden="false" customHeight="true" outlineLevel="0" collapsed="false">
      <c r="A165" s="15"/>
      <c r="B165" s="16"/>
      <c r="C165" s="16"/>
      <c r="D165" s="16"/>
      <c r="E165" s="16"/>
      <c r="F165" s="16"/>
      <c r="G165" s="16"/>
      <c r="H165" s="16"/>
      <c r="I165" s="16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customFormat="false" ht="12.75" hidden="false" customHeight="true" outlineLevel="0" collapsed="false">
      <c r="A166" s="15"/>
      <c r="B166" s="16"/>
      <c r="C166" s="16"/>
      <c r="D166" s="16"/>
      <c r="E166" s="16"/>
      <c r="F166" s="16"/>
      <c r="G166" s="16"/>
      <c r="H166" s="16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customFormat="false" ht="12.75" hidden="false" customHeight="true" outlineLevel="0" collapsed="false">
      <c r="A167" s="15"/>
      <c r="B167" s="16"/>
      <c r="C167" s="16"/>
      <c r="D167" s="16"/>
      <c r="E167" s="16"/>
      <c r="F167" s="16"/>
      <c r="G167" s="16"/>
      <c r="H167" s="16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customFormat="false" ht="12.75" hidden="false" customHeight="true" outlineLevel="0" collapsed="false">
      <c r="A168" s="15"/>
      <c r="B168" s="16"/>
      <c r="C168" s="16"/>
      <c r="D168" s="16"/>
      <c r="E168" s="16"/>
      <c r="F168" s="16"/>
      <c r="G168" s="16"/>
      <c r="H168" s="16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customFormat="false" ht="12.75" hidden="false" customHeight="true" outlineLevel="0" collapsed="false">
      <c r="A169" s="15"/>
      <c r="B169" s="16"/>
      <c r="C169" s="16"/>
      <c r="D169" s="16"/>
      <c r="E169" s="16"/>
      <c r="F169" s="16"/>
      <c r="G169" s="16"/>
      <c r="H169" s="16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customFormat="false" ht="12.75" hidden="false" customHeight="true" outlineLevel="0" collapsed="false">
      <c r="A170" s="15"/>
      <c r="B170" s="16"/>
      <c r="C170" s="16"/>
      <c r="D170" s="16"/>
      <c r="E170" s="16"/>
      <c r="F170" s="16"/>
      <c r="G170" s="16"/>
      <c r="H170" s="16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customFormat="false" ht="12.75" hidden="false" customHeight="true" outlineLevel="0" collapsed="false">
      <c r="A171" s="15"/>
      <c r="B171" s="16"/>
      <c r="C171" s="16"/>
      <c r="D171" s="16"/>
      <c r="E171" s="16"/>
      <c r="F171" s="16"/>
      <c r="G171" s="16"/>
      <c r="H171" s="16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customFormat="false" ht="12.75" hidden="false" customHeight="true" outlineLevel="0" collapsed="false">
      <c r="A172" s="15"/>
      <c r="B172" s="16"/>
      <c r="C172" s="16"/>
      <c r="D172" s="16"/>
      <c r="E172" s="16"/>
      <c r="F172" s="16"/>
      <c r="G172" s="16"/>
      <c r="H172" s="16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customFormat="false" ht="12.75" hidden="false" customHeight="true" outlineLevel="0" collapsed="false">
      <c r="A173" s="15"/>
      <c r="B173" s="16"/>
      <c r="C173" s="16"/>
      <c r="D173" s="16"/>
      <c r="E173" s="16"/>
      <c r="F173" s="16"/>
      <c r="G173" s="16"/>
      <c r="H173" s="16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customFormat="false" ht="12.75" hidden="false" customHeight="true" outlineLevel="0" collapsed="false">
      <c r="A174" s="15"/>
      <c r="B174" s="16"/>
      <c r="C174" s="16"/>
      <c r="D174" s="16"/>
      <c r="E174" s="16"/>
      <c r="F174" s="16"/>
      <c r="G174" s="16"/>
      <c r="H174" s="16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customFormat="false" ht="12.75" hidden="false" customHeight="true" outlineLevel="0" collapsed="false">
      <c r="A175" s="15"/>
      <c r="B175" s="16"/>
      <c r="C175" s="16"/>
      <c r="D175" s="16"/>
      <c r="E175" s="16"/>
      <c r="F175" s="16"/>
      <c r="G175" s="16"/>
      <c r="H175" s="16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customFormat="false" ht="12.75" hidden="false" customHeight="true" outlineLevel="0" collapsed="false">
      <c r="A176" s="15"/>
      <c r="B176" s="16"/>
      <c r="C176" s="16"/>
      <c r="D176" s="16"/>
      <c r="E176" s="16"/>
      <c r="F176" s="16"/>
      <c r="G176" s="16"/>
      <c r="H176" s="16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customFormat="false" ht="12.75" hidden="false" customHeight="true" outlineLevel="0" collapsed="false">
      <c r="A177" s="15"/>
      <c r="B177" s="16"/>
      <c r="C177" s="16"/>
      <c r="D177" s="16"/>
      <c r="E177" s="16"/>
      <c r="F177" s="16"/>
      <c r="G177" s="16"/>
      <c r="H177" s="16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customFormat="false" ht="12.75" hidden="false" customHeight="true" outlineLevel="0" collapsed="false">
      <c r="A178" s="15"/>
      <c r="B178" s="16"/>
      <c r="C178" s="16"/>
      <c r="D178" s="16"/>
      <c r="E178" s="16"/>
      <c r="F178" s="16"/>
      <c r="G178" s="16"/>
      <c r="H178" s="16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customFormat="false" ht="12.75" hidden="false" customHeight="true" outlineLevel="0" collapsed="false">
      <c r="A179" s="15"/>
      <c r="B179" s="16"/>
      <c r="C179" s="16"/>
      <c r="D179" s="16"/>
      <c r="E179" s="16"/>
      <c r="F179" s="16"/>
      <c r="G179" s="16"/>
      <c r="H179" s="16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customFormat="false" ht="12.75" hidden="false" customHeight="true" outlineLevel="0" collapsed="false">
      <c r="A180" s="15"/>
      <c r="B180" s="16"/>
      <c r="C180" s="16"/>
      <c r="D180" s="16"/>
      <c r="E180" s="16"/>
      <c r="F180" s="16"/>
      <c r="G180" s="16"/>
      <c r="H180" s="16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customFormat="false" ht="12.75" hidden="false" customHeight="true" outlineLevel="0" collapsed="false">
      <c r="A181" s="15"/>
      <c r="B181" s="16"/>
      <c r="C181" s="16"/>
      <c r="D181" s="16"/>
      <c r="E181" s="16"/>
      <c r="F181" s="16"/>
      <c r="G181" s="16"/>
      <c r="H181" s="16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customFormat="false" ht="12.75" hidden="false" customHeight="true" outlineLevel="0" collapsed="false">
      <c r="A182" s="15"/>
      <c r="B182" s="16"/>
      <c r="C182" s="16"/>
      <c r="D182" s="16"/>
      <c r="E182" s="16"/>
      <c r="F182" s="16"/>
      <c r="G182" s="16"/>
      <c r="H182" s="16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customFormat="false" ht="12.75" hidden="false" customHeight="true" outlineLevel="0" collapsed="false">
      <c r="A183" s="15"/>
      <c r="B183" s="16"/>
      <c r="C183" s="16"/>
      <c r="D183" s="16"/>
      <c r="E183" s="16"/>
      <c r="F183" s="16"/>
      <c r="G183" s="16"/>
      <c r="H183" s="16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customFormat="false" ht="12.75" hidden="false" customHeight="true" outlineLevel="0" collapsed="false">
      <c r="A184" s="15"/>
      <c r="B184" s="16"/>
      <c r="C184" s="16"/>
      <c r="D184" s="16"/>
      <c r="E184" s="16"/>
      <c r="F184" s="16"/>
      <c r="G184" s="16"/>
      <c r="H184" s="16"/>
      <c r="I184" s="16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customFormat="false" ht="12.75" hidden="false" customHeight="true" outlineLevel="0" collapsed="false">
      <c r="A185" s="15"/>
      <c r="B185" s="16"/>
      <c r="C185" s="16"/>
      <c r="D185" s="16"/>
      <c r="E185" s="16"/>
      <c r="F185" s="16"/>
      <c r="G185" s="16"/>
      <c r="H185" s="16"/>
      <c r="I185" s="16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customFormat="false" ht="12.75" hidden="false" customHeight="true" outlineLevel="0" collapsed="false">
      <c r="A186" s="15"/>
      <c r="B186" s="16"/>
      <c r="C186" s="16"/>
      <c r="D186" s="16"/>
      <c r="E186" s="16"/>
      <c r="F186" s="16"/>
      <c r="G186" s="16"/>
      <c r="H186" s="16"/>
      <c r="I186" s="16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customFormat="false" ht="12.75" hidden="false" customHeight="true" outlineLevel="0" collapsed="false">
      <c r="A187" s="15"/>
      <c r="B187" s="16"/>
      <c r="C187" s="16"/>
      <c r="D187" s="16"/>
      <c r="E187" s="16"/>
      <c r="F187" s="16"/>
      <c r="G187" s="16"/>
      <c r="H187" s="16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customFormat="false" ht="12.75" hidden="false" customHeight="true" outlineLevel="0" collapsed="false">
      <c r="A188" s="15"/>
      <c r="B188" s="16"/>
      <c r="C188" s="16"/>
      <c r="D188" s="16"/>
      <c r="E188" s="16"/>
      <c r="F188" s="16"/>
      <c r="G188" s="16"/>
      <c r="H188" s="16"/>
      <c r="I188" s="16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customFormat="false" ht="12.75" hidden="false" customHeight="true" outlineLevel="0" collapsed="false">
      <c r="A189" s="15"/>
      <c r="B189" s="16"/>
      <c r="C189" s="16"/>
      <c r="D189" s="16"/>
      <c r="E189" s="16"/>
      <c r="F189" s="16"/>
      <c r="G189" s="16"/>
      <c r="H189" s="16"/>
      <c r="I189" s="16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customFormat="false" ht="12.75" hidden="false" customHeight="true" outlineLevel="0" collapsed="false">
      <c r="A190" s="15"/>
      <c r="B190" s="16"/>
      <c r="C190" s="16"/>
      <c r="D190" s="16"/>
      <c r="E190" s="16"/>
      <c r="F190" s="16"/>
      <c r="G190" s="16"/>
      <c r="H190" s="16"/>
      <c r="I190" s="16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customFormat="false" ht="12.75" hidden="false" customHeight="true" outlineLevel="0" collapsed="false">
      <c r="A191" s="15"/>
      <c r="B191" s="16"/>
      <c r="C191" s="16"/>
      <c r="D191" s="16"/>
      <c r="E191" s="16"/>
      <c r="F191" s="16"/>
      <c r="G191" s="16"/>
      <c r="H191" s="16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customFormat="false" ht="12.75" hidden="false" customHeight="true" outlineLevel="0" collapsed="false">
      <c r="A192" s="15"/>
      <c r="B192" s="16"/>
      <c r="C192" s="16"/>
      <c r="D192" s="16"/>
      <c r="E192" s="16"/>
      <c r="F192" s="16"/>
      <c r="G192" s="16"/>
      <c r="H192" s="16"/>
      <c r="I192" s="16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customFormat="false" ht="12.75" hidden="false" customHeight="true" outlineLevel="0" collapsed="false">
      <c r="A193" s="15"/>
      <c r="B193" s="16"/>
      <c r="C193" s="16"/>
      <c r="D193" s="16"/>
      <c r="E193" s="16"/>
      <c r="F193" s="16"/>
      <c r="G193" s="16"/>
      <c r="H193" s="16"/>
      <c r="I193" s="16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customFormat="false" ht="12.75" hidden="false" customHeight="true" outlineLevel="0" collapsed="false">
      <c r="A194" s="15"/>
      <c r="B194" s="16"/>
      <c r="C194" s="16"/>
      <c r="D194" s="16"/>
      <c r="E194" s="16"/>
      <c r="F194" s="16"/>
      <c r="G194" s="16"/>
      <c r="H194" s="16"/>
      <c r="I194" s="16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customFormat="false" ht="12.75" hidden="false" customHeight="true" outlineLevel="0" collapsed="false">
      <c r="A195" s="15"/>
      <c r="B195" s="16"/>
      <c r="C195" s="16"/>
      <c r="D195" s="16"/>
      <c r="E195" s="16"/>
      <c r="F195" s="16"/>
      <c r="G195" s="16"/>
      <c r="H195" s="16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customFormat="false" ht="12.75" hidden="false" customHeight="true" outlineLevel="0" collapsed="false">
      <c r="A196" s="15"/>
      <c r="B196" s="16"/>
      <c r="C196" s="16"/>
      <c r="D196" s="16"/>
      <c r="E196" s="16"/>
      <c r="F196" s="16"/>
      <c r="G196" s="16"/>
      <c r="H196" s="16"/>
      <c r="I196" s="16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customFormat="false" ht="12.75" hidden="false" customHeight="true" outlineLevel="0" collapsed="false">
      <c r="A197" s="15"/>
      <c r="B197" s="16"/>
      <c r="C197" s="16"/>
      <c r="D197" s="16"/>
      <c r="E197" s="16"/>
      <c r="F197" s="16"/>
      <c r="G197" s="16"/>
      <c r="H197" s="16"/>
      <c r="I197" s="16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customFormat="false" ht="12.75" hidden="false" customHeight="true" outlineLevel="0" collapsed="false">
      <c r="A198" s="15"/>
      <c r="B198" s="16"/>
      <c r="C198" s="16"/>
      <c r="D198" s="16"/>
      <c r="E198" s="16"/>
      <c r="F198" s="16"/>
      <c r="G198" s="16"/>
      <c r="H198" s="16"/>
      <c r="I198" s="16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customFormat="false" ht="12.75" hidden="false" customHeight="true" outlineLevel="0" collapsed="false">
      <c r="A199" s="15"/>
      <c r="B199" s="16"/>
      <c r="C199" s="16"/>
      <c r="D199" s="16"/>
      <c r="E199" s="16"/>
      <c r="F199" s="16"/>
      <c r="G199" s="16"/>
      <c r="H199" s="16"/>
      <c r="I199" s="16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customFormat="false" ht="12.75" hidden="false" customHeight="true" outlineLevel="0" collapsed="false">
      <c r="A200" s="15"/>
      <c r="B200" s="16"/>
      <c r="C200" s="16"/>
      <c r="D200" s="16"/>
      <c r="E200" s="16"/>
      <c r="F200" s="16"/>
      <c r="G200" s="16"/>
      <c r="H200" s="16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customFormat="false" ht="12.75" hidden="false" customHeight="true" outlineLevel="0" collapsed="false">
      <c r="A201" s="15"/>
      <c r="B201" s="16"/>
      <c r="C201" s="16"/>
      <c r="D201" s="16"/>
      <c r="E201" s="16"/>
      <c r="F201" s="16"/>
      <c r="G201" s="16"/>
      <c r="H201" s="16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customFormat="false" ht="12.75" hidden="false" customHeight="true" outlineLevel="0" collapsed="false">
      <c r="A202" s="15"/>
      <c r="B202" s="16"/>
      <c r="C202" s="16"/>
      <c r="D202" s="16"/>
      <c r="E202" s="16"/>
      <c r="F202" s="16"/>
      <c r="G202" s="16"/>
      <c r="H202" s="16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customFormat="false" ht="12.75" hidden="false" customHeight="true" outlineLevel="0" collapsed="false">
      <c r="A203" s="15"/>
      <c r="B203" s="16"/>
      <c r="C203" s="16"/>
      <c r="D203" s="16"/>
      <c r="E203" s="16"/>
      <c r="F203" s="16"/>
      <c r="G203" s="16"/>
      <c r="H203" s="16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customFormat="false" ht="12.75" hidden="false" customHeight="true" outlineLevel="0" collapsed="false">
      <c r="A204" s="15"/>
      <c r="B204" s="16"/>
      <c r="C204" s="16"/>
      <c r="D204" s="16"/>
      <c r="E204" s="16"/>
      <c r="F204" s="16"/>
      <c r="G204" s="16"/>
      <c r="H204" s="16"/>
      <c r="I204" s="16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customFormat="false" ht="12.75" hidden="false" customHeight="true" outlineLevel="0" collapsed="false">
      <c r="A205" s="15"/>
      <c r="B205" s="16"/>
      <c r="C205" s="16"/>
      <c r="D205" s="16"/>
      <c r="E205" s="16"/>
      <c r="F205" s="16"/>
      <c r="G205" s="16"/>
      <c r="H205" s="16"/>
      <c r="I205" s="16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customFormat="false" ht="12.75" hidden="false" customHeight="true" outlineLevel="0" collapsed="false">
      <c r="A206" s="15"/>
      <c r="B206" s="16"/>
      <c r="C206" s="16"/>
      <c r="D206" s="16"/>
      <c r="E206" s="16"/>
      <c r="F206" s="16"/>
      <c r="G206" s="16"/>
      <c r="H206" s="16"/>
      <c r="I206" s="16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customFormat="false" ht="12.75" hidden="false" customHeight="true" outlineLevel="0" collapsed="false">
      <c r="A207" s="15"/>
      <c r="B207" s="16"/>
      <c r="C207" s="16"/>
      <c r="D207" s="16"/>
      <c r="E207" s="16"/>
      <c r="F207" s="16"/>
      <c r="G207" s="16"/>
      <c r="H207" s="16"/>
      <c r="I207" s="16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customFormat="false" ht="12.75" hidden="false" customHeight="true" outlineLevel="0" collapsed="false">
      <c r="A208" s="15"/>
      <c r="B208" s="16"/>
      <c r="C208" s="16"/>
      <c r="D208" s="16"/>
      <c r="E208" s="16"/>
      <c r="F208" s="16"/>
      <c r="G208" s="16"/>
      <c r="H208" s="16"/>
      <c r="I208" s="16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customFormat="false" ht="12.75" hidden="false" customHeight="true" outlineLevel="0" collapsed="false">
      <c r="A209" s="15"/>
      <c r="B209" s="16"/>
      <c r="C209" s="16"/>
      <c r="D209" s="16"/>
      <c r="E209" s="16"/>
      <c r="F209" s="16"/>
      <c r="G209" s="16"/>
      <c r="H209" s="16"/>
      <c r="I209" s="16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customFormat="false" ht="12.75" hidden="false" customHeight="true" outlineLevel="0" collapsed="false">
      <c r="A210" s="15"/>
      <c r="B210" s="16"/>
      <c r="C210" s="16"/>
      <c r="D210" s="16"/>
      <c r="E210" s="16"/>
      <c r="F210" s="16"/>
      <c r="G210" s="16"/>
      <c r="H210" s="16"/>
      <c r="I210" s="16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customFormat="false" ht="12.75" hidden="false" customHeight="true" outlineLevel="0" collapsed="false">
      <c r="A211" s="15"/>
      <c r="B211" s="16"/>
      <c r="C211" s="16"/>
      <c r="D211" s="16"/>
      <c r="E211" s="16"/>
      <c r="F211" s="16"/>
      <c r="G211" s="16"/>
      <c r="H211" s="16"/>
      <c r="I211" s="16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customFormat="false" ht="12.75" hidden="false" customHeight="true" outlineLevel="0" collapsed="false">
      <c r="A212" s="15"/>
      <c r="B212" s="16"/>
      <c r="C212" s="16"/>
      <c r="D212" s="16"/>
      <c r="E212" s="16"/>
      <c r="F212" s="16"/>
      <c r="G212" s="16"/>
      <c r="H212" s="16"/>
      <c r="I212" s="16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customFormat="false" ht="12.75" hidden="false" customHeight="true" outlineLevel="0" collapsed="false">
      <c r="A213" s="15"/>
      <c r="B213" s="16"/>
      <c r="C213" s="16"/>
      <c r="D213" s="16"/>
      <c r="E213" s="16"/>
      <c r="F213" s="16"/>
      <c r="G213" s="16"/>
      <c r="H213" s="16"/>
      <c r="I213" s="16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customFormat="false" ht="12.75" hidden="false" customHeight="true" outlineLevel="0" collapsed="false">
      <c r="A214" s="15"/>
      <c r="B214" s="16"/>
      <c r="C214" s="16"/>
      <c r="D214" s="16"/>
      <c r="E214" s="16"/>
      <c r="F214" s="16"/>
      <c r="G214" s="16"/>
      <c r="H214" s="16"/>
      <c r="I214" s="16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customFormat="false" ht="12.75" hidden="false" customHeight="true" outlineLevel="0" collapsed="false">
      <c r="A215" s="15"/>
      <c r="B215" s="16"/>
      <c r="C215" s="16"/>
      <c r="D215" s="16"/>
      <c r="E215" s="16"/>
      <c r="F215" s="16"/>
      <c r="G215" s="16"/>
      <c r="H215" s="16"/>
      <c r="I215" s="16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customFormat="false" ht="12.75" hidden="false" customHeight="true" outlineLevel="0" collapsed="false">
      <c r="A216" s="15"/>
      <c r="B216" s="16"/>
      <c r="C216" s="16"/>
      <c r="D216" s="16"/>
      <c r="E216" s="16"/>
      <c r="F216" s="16"/>
      <c r="G216" s="16"/>
      <c r="H216" s="16"/>
      <c r="I216" s="16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customFormat="false" ht="12.75" hidden="false" customHeight="true" outlineLevel="0" collapsed="false">
      <c r="A217" s="15"/>
      <c r="B217" s="16"/>
      <c r="C217" s="16"/>
      <c r="D217" s="16"/>
      <c r="E217" s="16"/>
      <c r="F217" s="16"/>
      <c r="G217" s="16"/>
      <c r="H217" s="16"/>
      <c r="I217" s="16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customFormat="false" ht="12.75" hidden="false" customHeight="true" outlineLevel="0" collapsed="false">
      <c r="A218" s="15"/>
      <c r="B218" s="16"/>
      <c r="C218" s="16"/>
      <c r="D218" s="16"/>
      <c r="E218" s="16"/>
      <c r="F218" s="16"/>
      <c r="G218" s="16"/>
      <c r="H218" s="16"/>
      <c r="I218" s="16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customFormat="false" ht="12.75" hidden="false" customHeight="true" outlineLevel="0" collapsed="false">
      <c r="A219" s="15"/>
      <c r="B219" s="16"/>
      <c r="C219" s="16"/>
      <c r="D219" s="16"/>
      <c r="E219" s="16"/>
      <c r="F219" s="16"/>
      <c r="G219" s="16"/>
      <c r="H219" s="16"/>
      <c r="I219" s="16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customFormat="false" ht="12.75" hidden="false" customHeight="true" outlineLevel="0" collapsed="false">
      <c r="A220" s="15"/>
      <c r="B220" s="16"/>
      <c r="C220" s="16"/>
      <c r="D220" s="16"/>
      <c r="E220" s="16"/>
      <c r="F220" s="16"/>
      <c r="G220" s="16"/>
      <c r="H220" s="16"/>
      <c r="I220" s="16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customFormat="false" ht="12.75" hidden="false" customHeight="true" outlineLevel="0" collapsed="false">
      <c r="A221" s="15"/>
      <c r="B221" s="16"/>
      <c r="C221" s="16"/>
      <c r="D221" s="16"/>
      <c r="E221" s="16"/>
      <c r="F221" s="16"/>
      <c r="G221" s="16"/>
      <c r="H221" s="16"/>
      <c r="I221" s="16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customFormat="false" ht="12.75" hidden="false" customHeight="true" outlineLevel="0" collapsed="false">
      <c r="A222" s="15"/>
      <c r="B222" s="16"/>
      <c r="C222" s="16"/>
      <c r="D222" s="16"/>
      <c r="E222" s="16"/>
      <c r="F222" s="16"/>
      <c r="G222" s="16"/>
      <c r="H222" s="16"/>
      <c r="I222" s="16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customFormat="false" ht="12.75" hidden="false" customHeight="true" outlineLevel="0" collapsed="false">
      <c r="A223" s="15"/>
      <c r="B223" s="16"/>
      <c r="C223" s="16"/>
      <c r="D223" s="16"/>
      <c r="E223" s="16"/>
      <c r="F223" s="16"/>
      <c r="G223" s="16"/>
      <c r="H223" s="16"/>
      <c r="I223" s="16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customFormat="false" ht="12.75" hidden="false" customHeight="true" outlineLevel="0" collapsed="false">
      <c r="A224" s="15"/>
      <c r="B224" s="16"/>
      <c r="C224" s="16"/>
      <c r="D224" s="16"/>
      <c r="E224" s="16"/>
      <c r="F224" s="16"/>
      <c r="G224" s="16"/>
      <c r="H224" s="16"/>
      <c r="I224" s="16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customFormat="false" ht="12.75" hidden="false" customHeight="true" outlineLevel="0" collapsed="false">
      <c r="A225" s="15"/>
      <c r="B225" s="16"/>
      <c r="C225" s="16"/>
      <c r="D225" s="16"/>
      <c r="E225" s="16"/>
      <c r="F225" s="16"/>
      <c r="G225" s="16"/>
      <c r="H225" s="16"/>
      <c r="I225" s="16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customFormat="false" ht="12.75" hidden="false" customHeight="true" outlineLevel="0" collapsed="false">
      <c r="A226" s="15"/>
      <c r="B226" s="16"/>
      <c r="C226" s="16"/>
      <c r="D226" s="16"/>
      <c r="E226" s="16"/>
      <c r="F226" s="16"/>
      <c r="G226" s="16"/>
      <c r="H226" s="16"/>
      <c r="I226" s="16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customFormat="false" ht="12.75" hidden="false" customHeight="true" outlineLevel="0" collapsed="false">
      <c r="A227" s="15"/>
      <c r="B227" s="16"/>
      <c r="C227" s="16"/>
      <c r="D227" s="16"/>
      <c r="E227" s="16"/>
      <c r="F227" s="16"/>
      <c r="G227" s="16"/>
      <c r="H227" s="16"/>
      <c r="I227" s="16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customFormat="false" ht="12.75" hidden="false" customHeight="true" outlineLevel="0" collapsed="false">
      <c r="A228" s="15"/>
      <c r="B228" s="16"/>
      <c r="C228" s="16"/>
      <c r="D228" s="16"/>
      <c r="E228" s="16"/>
      <c r="F228" s="16"/>
      <c r="G228" s="16"/>
      <c r="H228" s="16"/>
      <c r="I228" s="16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customFormat="false" ht="12.75" hidden="false" customHeight="true" outlineLevel="0" collapsed="false">
      <c r="A229" s="15"/>
      <c r="B229" s="16"/>
      <c r="C229" s="16"/>
      <c r="D229" s="16"/>
      <c r="E229" s="16"/>
      <c r="F229" s="16"/>
      <c r="G229" s="16"/>
      <c r="H229" s="16"/>
      <c r="I229" s="16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customFormat="false" ht="12.75" hidden="false" customHeight="true" outlineLevel="0" collapsed="false">
      <c r="A230" s="15"/>
      <c r="B230" s="16"/>
      <c r="C230" s="16"/>
      <c r="D230" s="16"/>
      <c r="E230" s="16"/>
      <c r="F230" s="16"/>
      <c r="G230" s="16"/>
      <c r="H230" s="16"/>
      <c r="I230" s="16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customFormat="false" ht="12.75" hidden="false" customHeight="true" outlineLevel="0" collapsed="false">
      <c r="A231" s="15"/>
      <c r="B231" s="16"/>
      <c r="C231" s="16"/>
      <c r="D231" s="16"/>
      <c r="E231" s="16"/>
      <c r="F231" s="16"/>
      <c r="G231" s="16"/>
      <c r="H231" s="16"/>
      <c r="I231" s="16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customFormat="false" ht="12.75" hidden="false" customHeight="true" outlineLevel="0" collapsed="false">
      <c r="A232" s="15"/>
      <c r="B232" s="16"/>
      <c r="C232" s="16"/>
      <c r="D232" s="16"/>
      <c r="E232" s="16"/>
      <c r="F232" s="16"/>
      <c r="G232" s="16"/>
      <c r="H232" s="16"/>
      <c r="I232" s="16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customFormat="false" ht="12.75" hidden="false" customHeight="true" outlineLevel="0" collapsed="false">
      <c r="A233" s="15"/>
      <c r="B233" s="16"/>
      <c r="C233" s="16"/>
      <c r="D233" s="16"/>
      <c r="E233" s="16"/>
      <c r="F233" s="16"/>
      <c r="G233" s="16"/>
      <c r="H233" s="16"/>
      <c r="I233" s="16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customFormat="false" ht="12.75" hidden="false" customHeight="true" outlineLevel="0" collapsed="false">
      <c r="A234" s="15"/>
      <c r="B234" s="16"/>
      <c r="C234" s="16"/>
      <c r="D234" s="16"/>
      <c r="E234" s="16"/>
      <c r="F234" s="16"/>
      <c r="G234" s="16"/>
      <c r="H234" s="16"/>
      <c r="I234" s="16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customFormat="false" ht="12.75" hidden="false" customHeight="true" outlineLevel="0" collapsed="false">
      <c r="A235" s="15"/>
      <c r="B235" s="16"/>
      <c r="C235" s="16"/>
      <c r="D235" s="16"/>
      <c r="E235" s="16"/>
      <c r="F235" s="16"/>
      <c r="G235" s="16"/>
      <c r="H235" s="16"/>
      <c r="I235" s="16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customFormat="false" ht="12.75" hidden="false" customHeight="true" outlineLevel="0" collapsed="false">
      <c r="A236" s="15"/>
      <c r="B236" s="16"/>
      <c r="C236" s="16"/>
      <c r="D236" s="16"/>
      <c r="E236" s="16"/>
      <c r="F236" s="16"/>
      <c r="G236" s="16"/>
      <c r="H236" s="16"/>
      <c r="I236" s="16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customFormat="false" ht="12.75" hidden="false" customHeight="true" outlineLevel="0" collapsed="false">
      <c r="A237" s="15"/>
      <c r="B237" s="16"/>
      <c r="C237" s="16"/>
      <c r="D237" s="16"/>
      <c r="E237" s="16"/>
      <c r="F237" s="16"/>
      <c r="G237" s="16"/>
      <c r="H237" s="16"/>
      <c r="I237" s="16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customFormat="false" ht="12.75" hidden="false" customHeight="true" outlineLevel="0" collapsed="false">
      <c r="A238" s="15"/>
      <c r="B238" s="16"/>
      <c r="C238" s="16"/>
      <c r="D238" s="16"/>
      <c r="E238" s="16"/>
      <c r="F238" s="16"/>
      <c r="G238" s="16"/>
      <c r="H238" s="16"/>
      <c r="I238" s="16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customFormat="false" ht="12.75" hidden="false" customHeight="true" outlineLevel="0" collapsed="false">
      <c r="A239" s="15"/>
      <c r="B239" s="16"/>
      <c r="C239" s="16"/>
      <c r="D239" s="16"/>
      <c r="E239" s="16"/>
      <c r="F239" s="16"/>
      <c r="G239" s="16"/>
      <c r="H239" s="16"/>
      <c r="I239" s="16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customFormat="false" ht="12.75" hidden="false" customHeight="true" outlineLevel="0" collapsed="false">
      <c r="A240" s="15"/>
      <c r="B240" s="16"/>
      <c r="C240" s="16"/>
      <c r="D240" s="16"/>
      <c r="E240" s="16"/>
      <c r="F240" s="16"/>
      <c r="G240" s="16"/>
      <c r="H240" s="16"/>
      <c r="I240" s="16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customFormat="false" ht="12.75" hidden="false" customHeight="true" outlineLevel="0" collapsed="false">
      <c r="A241" s="15"/>
      <c r="B241" s="16"/>
      <c r="C241" s="16"/>
      <c r="D241" s="16"/>
      <c r="E241" s="16"/>
      <c r="F241" s="16"/>
      <c r="G241" s="16"/>
      <c r="H241" s="16"/>
      <c r="I241" s="16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customFormat="false" ht="12.75" hidden="false" customHeight="true" outlineLevel="0" collapsed="false">
      <c r="A242" s="15"/>
      <c r="B242" s="16"/>
      <c r="C242" s="16"/>
      <c r="D242" s="16"/>
      <c r="E242" s="16"/>
      <c r="F242" s="16"/>
      <c r="G242" s="16"/>
      <c r="H242" s="16"/>
      <c r="I242" s="16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customFormat="false" ht="12.75" hidden="false" customHeight="true" outlineLevel="0" collapsed="false">
      <c r="A243" s="15"/>
      <c r="B243" s="16"/>
      <c r="C243" s="16"/>
      <c r="D243" s="16"/>
      <c r="E243" s="16"/>
      <c r="F243" s="16"/>
      <c r="G243" s="16"/>
      <c r="H243" s="16"/>
      <c r="I243" s="16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customFormat="false" ht="12.75" hidden="false" customHeight="true" outlineLevel="0" collapsed="false">
      <c r="A244" s="15"/>
      <c r="B244" s="16"/>
      <c r="C244" s="16"/>
      <c r="D244" s="16"/>
      <c r="E244" s="16"/>
      <c r="F244" s="16"/>
      <c r="G244" s="16"/>
      <c r="H244" s="16"/>
      <c r="I244" s="16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customFormat="false" ht="12.75" hidden="false" customHeight="true" outlineLevel="0" collapsed="false">
      <c r="A245" s="15"/>
      <c r="B245" s="16"/>
      <c r="C245" s="16"/>
      <c r="D245" s="16"/>
      <c r="E245" s="16"/>
      <c r="F245" s="16"/>
      <c r="G245" s="16"/>
      <c r="H245" s="16"/>
      <c r="I245" s="16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customFormat="false" ht="12.75" hidden="false" customHeight="true" outlineLevel="0" collapsed="false">
      <c r="A246" s="15"/>
      <c r="B246" s="16"/>
      <c r="C246" s="16"/>
      <c r="D246" s="16"/>
      <c r="E246" s="16"/>
      <c r="F246" s="16"/>
      <c r="G246" s="16"/>
      <c r="H246" s="16"/>
      <c r="I246" s="16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customFormat="false" ht="12.75" hidden="false" customHeight="true" outlineLevel="0" collapsed="false">
      <c r="A247" s="15"/>
      <c r="B247" s="16"/>
      <c r="C247" s="16"/>
      <c r="D247" s="16"/>
      <c r="E247" s="16"/>
      <c r="F247" s="16"/>
      <c r="G247" s="16"/>
      <c r="H247" s="16"/>
      <c r="I247" s="16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customFormat="false" ht="12.75" hidden="false" customHeight="true" outlineLevel="0" collapsed="false">
      <c r="A248" s="15"/>
      <c r="B248" s="16"/>
      <c r="C248" s="16"/>
      <c r="D248" s="16"/>
      <c r="E248" s="16"/>
      <c r="F248" s="16"/>
      <c r="G248" s="16"/>
      <c r="H248" s="16"/>
      <c r="I248" s="16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customFormat="false" ht="12.75" hidden="false" customHeight="true" outlineLevel="0" collapsed="false">
      <c r="A249" s="15"/>
      <c r="B249" s="16"/>
      <c r="C249" s="16"/>
      <c r="D249" s="16"/>
      <c r="E249" s="16"/>
      <c r="F249" s="16"/>
      <c r="G249" s="16"/>
      <c r="H249" s="16"/>
      <c r="I249" s="16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customFormat="false" ht="12.75" hidden="false" customHeight="true" outlineLevel="0" collapsed="false">
      <c r="A250" s="15"/>
      <c r="B250" s="16"/>
      <c r="C250" s="16"/>
      <c r="D250" s="16"/>
      <c r="E250" s="16"/>
      <c r="F250" s="16"/>
      <c r="G250" s="16"/>
      <c r="H250" s="16"/>
      <c r="I250" s="16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customFormat="false" ht="12.75" hidden="false" customHeight="true" outlineLevel="0" collapsed="false">
      <c r="A251" s="15"/>
      <c r="B251" s="16"/>
      <c r="C251" s="16"/>
      <c r="D251" s="16"/>
      <c r="E251" s="16"/>
      <c r="F251" s="16"/>
      <c r="G251" s="16"/>
      <c r="H251" s="16"/>
      <c r="I251" s="16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customFormat="false" ht="12.75" hidden="false" customHeight="true" outlineLevel="0" collapsed="false">
      <c r="A252" s="15"/>
      <c r="B252" s="16"/>
      <c r="C252" s="16"/>
      <c r="D252" s="16"/>
      <c r="E252" s="16"/>
      <c r="F252" s="16"/>
      <c r="G252" s="16"/>
      <c r="H252" s="16"/>
      <c r="I252" s="16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customFormat="false" ht="12.75" hidden="false" customHeight="true" outlineLevel="0" collapsed="false">
      <c r="A253" s="15"/>
      <c r="B253" s="16"/>
      <c r="C253" s="16"/>
      <c r="D253" s="16"/>
      <c r="E253" s="16"/>
      <c r="F253" s="16"/>
      <c r="G253" s="16"/>
      <c r="H253" s="16"/>
      <c r="I253" s="16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customFormat="false" ht="12.75" hidden="false" customHeight="true" outlineLevel="0" collapsed="false">
      <c r="A254" s="15"/>
      <c r="B254" s="16"/>
      <c r="C254" s="16"/>
      <c r="D254" s="16"/>
      <c r="E254" s="16"/>
      <c r="F254" s="16"/>
      <c r="G254" s="16"/>
      <c r="H254" s="16"/>
      <c r="I254" s="16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customFormat="false" ht="12.75" hidden="false" customHeight="true" outlineLevel="0" collapsed="false">
      <c r="A255" s="15"/>
      <c r="B255" s="16"/>
      <c r="C255" s="16"/>
      <c r="D255" s="16"/>
      <c r="E255" s="16"/>
      <c r="F255" s="16"/>
      <c r="G255" s="16"/>
      <c r="H255" s="16"/>
      <c r="I255" s="16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customFormat="false" ht="12.75" hidden="false" customHeight="true" outlineLevel="0" collapsed="false">
      <c r="A256" s="15"/>
      <c r="B256" s="16"/>
      <c r="C256" s="16"/>
      <c r="D256" s="16"/>
      <c r="E256" s="16"/>
      <c r="F256" s="16"/>
      <c r="G256" s="16"/>
      <c r="H256" s="16"/>
      <c r="I256" s="16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customFormat="false" ht="12.75" hidden="false" customHeight="true" outlineLevel="0" collapsed="false">
      <c r="A257" s="15"/>
      <c r="B257" s="16"/>
      <c r="C257" s="16"/>
      <c r="D257" s="16"/>
      <c r="E257" s="16"/>
      <c r="F257" s="16"/>
      <c r="G257" s="16"/>
      <c r="H257" s="16"/>
      <c r="I257" s="16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customFormat="false" ht="12.75" hidden="false" customHeight="true" outlineLevel="0" collapsed="false">
      <c r="A258" s="15"/>
      <c r="B258" s="16"/>
      <c r="C258" s="16"/>
      <c r="D258" s="16"/>
      <c r="E258" s="16"/>
      <c r="F258" s="16"/>
      <c r="G258" s="16"/>
      <c r="H258" s="16"/>
      <c r="I258" s="16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customFormat="false" ht="12.75" hidden="false" customHeight="true" outlineLevel="0" collapsed="false">
      <c r="A259" s="15"/>
      <c r="B259" s="16"/>
      <c r="C259" s="16"/>
      <c r="D259" s="16"/>
      <c r="E259" s="16"/>
      <c r="F259" s="16"/>
      <c r="G259" s="16"/>
      <c r="H259" s="16"/>
      <c r="I259" s="16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customFormat="false" ht="12.75" hidden="false" customHeight="true" outlineLevel="0" collapsed="false">
      <c r="A260" s="15"/>
      <c r="B260" s="16"/>
      <c r="C260" s="16"/>
      <c r="D260" s="16"/>
      <c r="E260" s="16"/>
      <c r="F260" s="16"/>
      <c r="G260" s="16"/>
      <c r="H260" s="16"/>
      <c r="I260" s="16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customFormat="false" ht="12.75" hidden="false" customHeight="true" outlineLevel="0" collapsed="false">
      <c r="A261" s="15"/>
      <c r="B261" s="16"/>
      <c r="C261" s="16"/>
      <c r="D261" s="16"/>
      <c r="E261" s="16"/>
      <c r="F261" s="16"/>
      <c r="G261" s="16"/>
      <c r="H261" s="16"/>
      <c r="I261" s="16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customFormat="false" ht="12.75" hidden="false" customHeight="true" outlineLevel="0" collapsed="false">
      <c r="A262" s="15"/>
      <c r="B262" s="16"/>
      <c r="C262" s="16"/>
      <c r="D262" s="16"/>
      <c r="E262" s="16"/>
      <c r="F262" s="16"/>
      <c r="G262" s="16"/>
      <c r="H262" s="16"/>
      <c r="I262" s="16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customFormat="false" ht="12.75" hidden="false" customHeight="true" outlineLevel="0" collapsed="false">
      <c r="A263" s="15"/>
      <c r="B263" s="16"/>
      <c r="C263" s="16"/>
      <c r="D263" s="16"/>
      <c r="E263" s="16"/>
      <c r="F263" s="16"/>
      <c r="G263" s="16"/>
      <c r="H263" s="16"/>
      <c r="I263" s="16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customFormat="false" ht="12.75" hidden="false" customHeight="true" outlineLevel="0" collapsed="false">
      <c r="A264" s="15"/>
      <c r="B264" s="16"/>
      <c r="C264" s="16"/>
      <c r="D264" s="16"/>
      <c r="E264" s="16"/>
      <c r="F264" s="16"/>
      <c r="G264" s="16"/>
      <c r="H264" s="16"/>
      <c r="I264" s="16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customFormat="false" ht="12.75" hidden="false" customHeight="true" outlineLevel="0" collapsed="false">
      <c r="A265" s="15"/>
      <c r="B265" s="16"/>
      <c r="C265" s="16"/>
      <c r="D265" s="16"/>
      <c r="E265" s="16"/>
      <c r="F265" s="16"/>
      <c r="G265" s="16"/>
      <c r="H265" s="16"/>
      <c r="I265" s="16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customFormat="false" ht="12.75" hidden="false" customHeight="true" outlineLevel="0" collapsed="false">
      <c r="A266" s="15"/>
      <c r="B266" s="16"/>
      <c r="C266" s="16"/>
      <c r="D266" s="16"/>
      <c r="E266" s="16"/>
      <c r="F266" s="16"/>
      <c r="G266" s="16"/>
      <c r="H266" s="16"/>
      <c r="I266" s="16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customFormat="false" ht="12.75" hidden="false" customHeight="true" outlineLevel="0" collapsed="false">
      <c r="A267" s="15"/>
      <c r="B267" s="16"/>
      <c r="C267" s="16"/>
      <c r="D267" s="16"/>
      <c r="E267" s="16"/>
      <c r="F267" s="16"/>
      <c r="G267" s="16"/>
      <c r="H267" s="16"/>
      <c r="I267" s="16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customFormat="false" ht="12.75" hidden="false" customHeight="true" outlineLevel="0" collapsed="false">
      <c r="A268" s="15"/>
      <c r="B268" s="16"/>
      <c r="C268" s="16"/>
      <c r="D268" s="16"/>
      <c r="E268" s="16"/>
      <c r="F268" s="16"/>
      <c r="G268" s="16"/>
      <c r="H268" s="16"/>
      <c r="I268" s="16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customFormat="false" ht="12.75" hidden="false" customHeight="true" outlineLevel="0" collapsed="false">
      <c r="A269" s="15"/>
      <c r="B269" s="16"/>
      <c r="C269" s="16"/>
      <c r="D269" s="16"/>
      <c r="E269" s="16"/>
      <c r="F269" s="16"/>
      <c r="G269" s="16"/>
      <c r="H269" s="16"/>
      <c r="I269" s="16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customFormat="false" ht="12.75" hidden="false" customHeight="true" outlineLevel="0" collapsed="false">
      <c r="A270" s="15"/>
      <c r="B270" s="16"/>
      <c r="C270" s="16"/>
      <c r="D270" s="16"/>
      <c r="E270" s="16"/>
      <c r="F270" s="16"/>
      <c r="G270" s="16"/>
      <c r="H270" s="16"/>
      <c r="I270" s="16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customFormat="false" ht="12.75" hidden="false" customHeight="true" outlineLevel="0" collapsed="false">
      <c r="A271" s="15"/>
      <c r="B271" s="16"/>
      <c r="C271" s="16"/>
      <c r="D271" s="16"/>
      <c r="E271" s="16"/>
      <c r="F271" s="16"/>
      <c r="G271" s="16"/>
      <c r="H271" s="16"/>
      <c r="I271" s="16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customFormat="false" ht="12.75" hidden="false" customHeight="true" outlineLevel="0" collapsed="false">
      <c r="A272" s="15"/>
      <c r="B272" s="16"/>
      <c r="C272" s="16"/>
      <c r="D272" s="16"/>
      <c r="E272" s="16"/>
      <c r="F272" s="16"/>
      <c r="G272" s="16"/>
      <c r="H272" s="16"/>
      <c r="I272" s="16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customFormat="false" ht="12.75" hidden="false" customHeight="true" outlineLevel="0" collapsed="false">
      <c r="A273" s="15"/>
      <c r="B273" s="16"/>
      <c r="C273" s="16"/>
      <c r="D273" s="16"/>
      <c r="E273" s="16"/>
      <c r="F273" s="16"/>
      <c r="G273" s="16"/>
      <c r="H273" s="16"/>
      <c r="I273" s="16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customFormat="false" ht="12.75" hidden="false" customHeight="true" outlineLevel="0" collapsed="false">
      <c r="A274" s="15"/>
      <c r="B274" s="16"/>
      <c r="C274" s="16"/>
      <c r="D274" s="16"/>
      <c r="E274" s="16"/>
      <c r="F274" s="16"/>
      <c r="G274" s="16"/>
      <c r="H274" s="16"/>
      <c r="I274" s="16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customFormat="false" ht="12.75" hidden="false" customHeight="true" outlineLevel="0" collapsed="false">
      <c r="A275" s="15"/>
      <c r="B275" s="16"/>
      <c r="C275" s="16"/>
      <c r="D275" s="16"/>
      <c r="E275" s="16"/>
      <c r="F275" s="16"/>
      <c r="G275" s="16"/>
      <c r="H275" s="16"/>
      <c r="I275" s="16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customFormat="false" ht="12.75" hidden="false" customHeight="true" outlineLevel="0" collapsed="false">
      <c r="A276" s="15"/>
      <c r="B276" s="16"/>
      <c r="C276" s="16"/>
      <c r="D276" s="16"/>
      <c r="E276" s="16"/>
      <c r="F276" s="16"/>
      <c r="G276" s="16"/>
      <c r="H276" s="16"/>
      <c r="I276" s="16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customFormat="false" ht="12.75" hidden="false" customHeight="true" outlineLevel="0" collapsed="false">
      <c r="A277" s="15"/>
      <c r="B277" s="16"/>
      <c r="C277" s="16"/>
      <c r="D277" s="16"/>
      <c r="E277" s="16"/>
      <c r="F277" s="16"/>
      <c r="G277" s="16"/>
      <c r="H277" s="16"/>
      <c r="I277" s="16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customFormat="false" ht="12.75" hidden="false" customHeight="true" outlineLevel="0" collapsed="false">
      <c r="A278" s="15"/>
      <c r="B278" s="16"/>
      <c r="C278" s="16"/>
      <c r="D278" s="16"/>
      <c r="E278" s="16"/>
      <c r="F278" s="16"/>
      <c r="G278" s="16"/>
      <c r="H278" s="16"/>
      <c r="I278" s="16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customFormat="false" ht="12.75" hidden="false" customHeight="true" outlineLevel="0" collapsed="false">
      <c r="A279" s="15"/>
      <c r="B279" s="16"/>
      <c r="C279" s="16"/>
      <c r="D279" s="16"/>
      <c r="E279" s="16"/>
      <c r="F279" s="16"/>
      <c r="G279" s="16"/>
      <c r="H279" s="16"/>
      <c r="I279" s="16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customFormat="false" ht="12.75" hidden="false" customHeight="true" outlineLevel="0" collapsed="false">
      <c r="A280" s="15"/>
      <c r="B280" s="16"/>
      <c r="C280" s="16"/>
      <c r="D280" s="16"/>
      <c r="E280" s="16"/>
      <c r="F280" s="16"/>
      <c r="G280" s="16"/>
      <c r="H280" s="16"/>
      <c r="I280" s="16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customFormat="false" ht="12.75" hidden="false" customHeight="true" outlineLevel="0" collapsed="false">
      <c r="A281" s="15"/>
      <c r="B281" s="16"/>
      <c r="C281" s="16"/>
      <c r="D281" s="16"/>
      <c r="E281" s="16"/>
      <c r="F281" s="16"/>
      <c r="G281" s="16"/>
      <c r="H281" s="16"/>
      <c r="I281" s="16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customFormat="false" ht="12.75" hidden="false" customHeight="true" outlineLevel="0" collapsed="false">
      <c r="A282" s="15"/>
      <c r="B282" s="16"/>
      <c r="C282" s="16"/>
      <c r="D282" s="16"/>
      <c r="E282" s="16"/>
      <c r="F282" s="16"/>
      <c r="G282" s="16"/>
      <c r="H282" s="16"/>
      <c r="I282" s="16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customFormat="false" ht="12.75" hidden="false" customHeight="true" outlineLevel="0" collapsed="false">
      <c r="A283" s="15"/>
      <c r="B283" s="16"/>
      <c r="C283" s="16"/>
      <c r="D283" s="16"/>
      <c r="E283" s="16"/>
      <c r="F283" s="16"/>
      <c r="G283" s="16"/>
      <c r="H283" s="16"/>
      <c r="I283" s="16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customFormat="false" ht="12.75" hidden="false" customHeight="true" outlineLevel="0" collapsed="false">
      <c r="A284" s="15"/>
      <c r="B284" s="16"/>
      <c r="C284" s="16"/>
      <c r="D284" s="16"/>
      <c r="E284" s="16"/>
      <c r="F284" s="16"/>
      <c r="G284" s="16"/>
      <c r="H284" s="16"/>
      <c r="I284" s="16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customFormat="false" ht="12.75" hidden="false" customHeight="true" outlineLevel="0" collapsed="false">
      <c r="A285" s="15"/>
      <c r="B285" s="16"/>
      <c r="C285" s="16"/>
      <c r="D285" s="16"/>
      <c r="E285" s="16"/>
      <c r="F285" s="16"/>
      <c r="G285" s="16"/>
      <c r="H285" s="16"/>
      <c r="I285" s="16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customFormat="false" ht="12.75" hidden="false" customHeight="true" outlineLevel="0" collapsed="false">
      <c r="A286" s="15"/>
      <c r="B286" s="16"/>
      <c r="C286" s="16"/>
      <c r="D286" s="16"/>
      <c r="E286" s="16"/>
      <c r="F286" s="16"/>
      <c r="G286" s="16"/>
      <c r="H286" s="16"/>
      <c r="I286" s="16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customFormat="false" ht="12.75" hidden="false" customHeight="true" outlineLevel="0" collapsed="false">
      <c r="A287" s="15"/>
      <c r="B287" s="16"/>
      <c r="C287" s="16"/>
      <c r="D287" s="16"/>
      <c r="E287" s="16"/>
      <c r="F287" s="16"/>
      <c r="G287" s="16"/>
      <c r="H287" s="16"/>
      <c r="I287" s="16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customFormat="false" ht="12.75" hidden="false" customHeight="true" outlineLevel="0" collapsed="false">
      <c r="A288" s="15"/>
      <c r="B288" s="16"/>
      <c r="C288" s="16"/>
      <c r="D288" s="16"/>
      <c r="E288" s="16"/>
      <c r="F288" s="16"/>
      <c r="G288" s="16"/>
      <c r="H288" s="16"/>
      <c r="I288" s="16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customFormat="false" ht="12.75" hidden="false" customHeight="true" outlineLevel="0" collapsed="false">
      <c r="A289" s="15"/>
      <c r="B289" s="16"/>
      <c r="C289" s="16"/>
      <c r="D289" s="16"/>
      <c r="E289" s="16"/>
      <c r="F289" s="16"/>
      <c r="G289" s="16"/>
      <c r="H289" s="16"/>
      <c r="I289" s="16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customFormat="false" ht="12.75" hidden="false" customHeight="true" outlineLevel="0" collapsed="false">
      <c r="A290" s="15"/>
      <c r="B290" s="16"/>
      <c r="C290" s="16"/>
      <c r="D290" s="16"/>
      <c r="E290" s="16"/>
      <c r="F290" s="16"/>
      <c r="G290" s="16"/>
      <c r="H290" s="16"/>
      <c r="I290" s="16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customFormat="false" ht="12.75" hidden="false" customHeight="true" outlineLevel="0" collapsed="false">
      <c r="A291" s="15"/>
      <c r="B291" s="16"/>
      <c r="C291" s="16"/>
      <c r="D291" s="16"/>
      <c r="E291" s="16"/>
      <c r="F291" s="16"/>
      <c r="G291" s="16"/>
      <c r="H291" s="16"/>
      <c r="I291" s="16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customFormat="false" ht="12.75" hidden="false" customHeight="true" outlineLevel="0" collapsed="false">
      <c r="A292" s="15"/>
      <c r="B292" s="16"/>
      <c r="C292" s="16"/>
      <c r="D292" s="16"/>
      <c r="E292" s="16"/>
      <c r="F292" s="16"/>
      <c r="G292" s="16"/>
      <c r="H292" s="16"/>
      <c r="I292" s="16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customFormat="false" ht="12.75" hidden="false" customHeight="true" outlineLevel="0" collapsed="false">
      <c r="A293" s="15"/>
      <c r="B293" s="16"/>
      <c r="C293" s="16"/>
      <c r="D293" s="16"/>
      <c r="E293" s="16"/>
      <c r="F293" s="16"/>
      <c r="G293" s="16"/>
      <c r="H293" s="16"/>
      <c r="I293" s="16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customFormat="false" ht="12.75" hidden="false" customHeight="true" outlineLevel="0" collapsed="false">
      <c r="A294" s="15"/>
      <c r="B294" s="16"/>
      <c r="C294" s="16"/>
      <c r="D294" s="16"/>
      <c r="E294" s="16"/>
      <c r="F294" s="16"/>
      <c r="G294" s="16"/>
      <c r="H294" s="16"/>
      <c r="I294" s="16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customFormat="false" ht="12.75" hidden="false" customHeight="true" outlineLevel="0" collapsed="false">
      <c r="A295" s="15"/>
      <c r="B295" s="16"/>
      <c r="C295" s="16"/>
      <c r="D295" s="16"/>
      <c r="E295" s="16"/>
      <c r="F295" s="16"/>
      <c r="G295" s="16"/>
      <c r="H295" s="16"/>
      <c r="I295" s="16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customFormat="false" ht="12.75" hidden="false" customHeight="true" outlineLevel="0" collapsed="false">
      <c r="A296" s="15"/>
      <c r="B296" s="16"/>
      <c r="C296" s="16"/>
      <c r="D296" s="16"/>
      <c r="E296" s="16"/>
      <c r="F296" s="16"/>
      <c r="G296" s="16"/>
      <c r="H296" s="16"/>
      <c r="I296" s="16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customFormat="false" ht="12.75" hidden="false" customHeight="true" outlineLevel="0" collapsed="false">
      <c r="A297" s="15"/>
      <c r="B297" s="16"/>
      <c r="C297" s="16"/>
      <c r="D297" s="16"/>
      <c r="E297" s="16"/>
      <c r="F297" s="16"/>
      <c r="G297" s="16"/>
      <c r="H297" s="16"/>
      <c r="I297" s="16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customFormat="false" ht="12.75" hidden="false" customHeight="true" outlineLevel="0" collapsed="false">
      <c r="A298" s="15"/>
      <c r="B298" s="16"/>
      <c r="C298" s="16"/>
      <c r="D298" s="16"/>
      <c r="E298" s="16"/>
      <c r="F298" s="16"/>
      <c r="G298" s="16"/>
      <c r="H298" s="16"/>
      <c r="I298" s="16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customFormat="false" ht="12.75" hidden="false" customHeight="true" outlineLevel="0" collapsed="false">
      <c r="A299" s="15"/>
      <c r="B299" s="16"/>
      <c r="C299" s="16"/>
      <c r="D299" s="16"/>
      <c r="E299" s="16"/>
      <c r="F299" s="16"/>
      <c r="G299" s="16"/>
      <c r="H299" s="16"/>
      <c r="I299" s="16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customFormat="false" ht="12.75" hidden="false" customHeight="true" outlineLevel="0" collapsed="false">
      <c r="A300" s="15"/>
      <c r="B300" s="16"/>
      <c r="C300" s="16"/>
      <c r="D300" s="16"/>
      <c r="E300" s="16"/>
      <c r="F300" s="16"/>
      <c r="G300" s="16"/>
      <c r="H300" s="16"/>
      <c r="I300" s="16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customFormat="false" ht="12.75" hidden="false" customHeight="true" outlineLevel="0" collapsed="false">
      <c r="A301" s="15"/>
      <c r="B301" s="16"/>
      <c r="C301" s="16"/>
      <c r="D301" s="16"/>
      <c r="E301" s="16"/>
      <c r="F301" s="16"/>
      <c r="G301" s="16"/>
      <c r="H301" s="16"/>
      <c r="I301" s="16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customFormat="false" ht="12.75" hidden="false" customHeight="true" outlineLevel="0" collapsed="false">
      <c r="A302" s="15"/>
      <c r="B302" s="16"/>
      <c r="C302" s="16"/>
      <c r="D302" s="16"/>
      <c r="E302" s="16"/>
      <c r="F302" s="16"/>
      <c r="G302" s="16"/>
      <c r="H302" s="16"/>
      <c r="I302" s="16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customFormat="false" ht="12.75" hidden="false" customHeight="true" outlineLevel="0" collapsed="false">
      <c r="A303" s="15"/>
      <c r="B303" s="16"/>
      <c r="C303" s="16"/>
      <c r="D303" s="16"/>
      <c r="E303" s="16"/>
      <c r="F303" s="16"/>
      <c r="G303" s="16"/>
      <c r="H303" s="16"/>
      <c r="I303" s="16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customFormat="false" ht="12.75" hidden="false" customHeight="true" outlineLevel="0" collapsed="false">
      <c r="A304" s="15"/>
      <c r="B304" s="16"/>
      <c r="C304" s="16"/>
      <c r="D304" s="16"/>
      <c r="E304" s="16"/>
      <c r="F304" s="16"/>
      <c r="G304" s="16"/>
      <c r="H304" s="16"/>
      <c r="I304" s="16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customFormat="false" ht="12.75" hidden="false" customHeight="true" outlineLevel="0" collapsed="false">
      <c r="A305" s="15"/>
      <c r="B305" s="16"/>
      <c r="C305" s="16"/>
      <c r="D305" s="16"/>
      <c r="E305" s="16"/>
      <c r="F305" s="16"/>
      <c r="G305" s="16"/>
      <c r="H305" s="16"/>
      <c r="I305" s="16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customFormat="false" ht="12.75" hidden="false" customHeight="true" outlineLevel="0" collapsed="false">
      <c r="A306" s="15"/>
      <c r="B306" s="16"/>
      <c r="C306" s="16"/>
      <c r="D306" s="16"/>
      <c r="E306" s="16"/>
      <c r="F306" s="16"/>
      <c r="G306" s="16"/>
      <c r="H306" s="16"/>
      <c r="I306" s="16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customFormat="false" ht="12.75" hidden="false" customHeight="true" outlineLevel="0" collapsed="false">
      <c r="A307" s="15"/>
      <c r="B307" s="16"/>
      <c r="C307" s="16"/>
      <c r="D307" s="16"/>
      <c r="E307" s="16"/>
      <c r="F307" s="16"/>
      <c r="G307" s="16"/>
      <c r="H307" s="16"/>
      <c r="I307" s="16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customFormat="false" ht="12.75" hidden="false" customHeight="true" outlineLevel="0" collapsed="false">
      <c r="A308" s="15"/>
      <c r="B308" s="16"/>
      <c r="C308" s="16"/>
      <c r="D308" s="16"/>
      <c r="E308" s="16"/>
      <c r="F308" s="16"/>
      <c r="G308" s="16"/>
      <c r="H308" s="16"/>
      <c r="I308" s="16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customFormat="false" ht="12.75" hidden="false" customHeight="true" outlineLevel="0" collapsed="false">
      <c r="A309" s="15"/>
      <c r="B309" s="16"/>
      <c r="C309" s="16"/>
      <c r="D309" s="16"/>
      <c r="E309" s="16"/>
      <c r="F309" s="16"/>
      <c r="G309" s="16"/>
      <c r="H309" s="16"/>
      <c r="I309" s="16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customFormat="false" ht="12.75" hidden="false" customHeight="true" outlineLevel="0" collapsed="false">
      <c r="A310" s="15"/>
      <c r="B310" s="16"/>
      <c r="C310" s="16"/>
      <c r="D310" s="16"/>
      <c r="E310" s="16"/>
      <c r="F310" s="16"/>
      <c r="G310" s="16"/>
      <c r="H310" s="16"/>
      <c r="I310" s="16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customFormat="false" ht="12.75" hidden="false" customHeight="true" outlineLevel="0" collapsed="false">
      <c r="A311" s="15"/>
      <c r="B311" s="16"/>
      <c r="C311" s="16"/>
      <c r="D311" s="16"/>
      <c r="E311" s="16"/>
      <c r="F311" s="16"/>
      <c r="G311" s="16"/>
      <c r="H311" s="16"/>
      <c r="I311" s="16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customFormat="false" ht="12.75" hidden="false" customHeight="true" outlineLevel="0" collapsed="false">
      <c r="A312" s="15"/>
      <c r="B312" s="16"/>
      <c r="C312" s="16"/>
      <c r="D312" s="16"/>
      <c r="E312" s="16"/>
      <c r="F312" s="16"/>
      <c r="G312" s="16"/>
      <c r="H312" s="16"/>
      <c r="I312" s="16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customFormat="false" ht="12.75" hidden="false" customHeight="true" outlineLevel="0" collapsed="false">
      <c r="A313" s="15"/>
      <c r="B313" s="16"/>
      <c r="C313" s="16"/>
      <c r="D313" s="16"/>
      <c r="E313" s="16"/>
      <c r="F313" s="16"/>
      <c r="G313" s="16"/>
      <c r="H313" s="16"/>
      <c r="I313" s="16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customFormat="false" ht="12.75" hidden="false" customHeight="true" outlineLevel="0" collapsed="false">
      <c r="A314" s="15"/>
      <c r="B314" s="16"/>
      <c r="C314" s="16"/>
      <c r="D314" s="16"/>
      <c r="E314" s="16"/>
      <c r="F314" s="16"/>
      <c r="G314" s="16"/>
      <c r="H314" s="16"/>
      <c r="I314" s="16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customFormat="false" ht="12.75" hidden="false" customHeight="true" outlineLevel="0" collapsed="false">
      <c r="A315" s="15"/>
      <c r="B315" s="16"/>
      <c r="C315" s="16"/>
      <c r="D315" s="16"/>
      <c r="E315" s="16"/>
      <c r="F315" s="16"/>
      <c r="G315" s="16"/>
      <c r="H315" s="16"/>
      <c r="I315" s="16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customFormat="false" ht="12.75" hidden="false" customHeight="true" outlineLevel="0" collapsed="false">
      <c r="A316" s="15"/>
      <c r="B316" s="16"/>
      <c r="C316" s="16"/>
      <c r="D316" s="16"/>
      <c r="E316" s="16"/>
      <c r="F316" s="16"/>
      <c r="G316" s="16"/>
      <c r="H316" s="16"/>
      <c r="I316" s="16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customFormat="false" ht="12.75" hidden="false" customHeight="true" outlineLevel="0" collapsed="false">
      <c r="A317" s="15"/>
      <c r="B317" s="16"/>
      <c r="C317" s="16"/>
      <c r="D317" s="16"/>
      <c r="E317" s="16"/>
      <c r="F317" s="16"/>
      <c r="G317" s="16"/>
      <c r="H317" s="16"/>
      <c r="I317" s="16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customFormat="false" ht="12.75" hidden="false" customHeight="true" outlineLevel="0" collapsed="false">
      <c r="A318" s="15"/>
      <c r="B318" s="16"/>
      <c r="C318" s="16"/>
      <c r="D318" s="16"/>
      <c r="E318" s="16"/>
      <c r="F318" s="16"/>
      <c r="G318" s="16"/>
      <c r="H318" s="16"/>
      <c r="I318" s="16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customFormat="false" ht="12.75" hidden="false" customHeight="true" outlineLevel="0" collapsed="false">
      <c r="A319" s="15"/>
      <c r="B319" s="16"/>
      <c r="C319" s="16"/>
      <c r="D319" s="16"/>
      <c r="E319" s="16"/>
      <c r="F319" s="16"/>
      <c r="G319" s="16"/>
      <c r="H319" s="16"/>
      <c r="I319" s="16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customFormat="false" ht="12.75" hidden="false" customHeight="true" outlineLevel="0" collapsed="false">
      <c r="A320" s="15"/>
      <c r="B320" s="16"/>
      <c r="C320" s="16"/>
      <c r="D320" s="16"/>
      <c r="E320" s="16"/>
      <c r="F320" s="16"/>
      <c r="G320" s="16"/>
      <c r="H320" s="16"/>
      <c r="I320" s="16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customFormat="false" ht="12.75" hidden="false" customHeight="true" outlineLevel="0" collapsed="false">
      <c r="A321" s="15"/>
      <c r="B321" s="16"/>
      <c r="C321" s="16"/>
      <c r="D321" s="16"/>
      <c r="E321" s="16"/>
      <c r="F321" s="16"/>
      <c r="G321" s="16"/>
      <c r="H321" s="16"/>
      <c r="I321" s="16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customFormat="false" ht="12.75" hidden="false" customHeight="true" outlineLevel="0" collapsed="false">
      <c r="A322" s="15"/>
      <c r="B322" s="16"/>
      <c r="C322" s="16"/>
      <c r="D322" s="16"/>
      <c r="E322" s="16"/>
      <c r="F322" s="16"/>
      <c r="G322" s="16"/>
      <c r="H322" s="16"/>
      <c r="I322" s="16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customFormat="false" ht="12.75" hidden="false" customHeight="true" outlineLevel="0" collapsed="false">
      <c r="A323" s="15"/>
      <c r="B323" s="16"/>
      <c r="C323" s="16"/>
      <c r="D323" s="16"/>
      <c r="E323" s="16"/>
      <c r="F323" s="16"/>
      <c r="G323" s="16"/>
      <c r="H323" s="16"/>
      <c r="I323" s="16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customFormat="false" ht="12.75" hidden="false" customHeight="true" outlineLevel="0" collapsed="false">
      <c r="A324" s="15"/>
      <c r="B324" s="16"/>
      <c r="C324" s="16"/>
      <c r="D324" s="16"/>
      <c r="E324" s="16"/>
      <c r="F324" s="16"/>
      <c r="G324" s="16"/>
      <c r="H324" s="16"/>
      <c r="I324" s="16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customFormat="false" ht="12.75" hidden="false" customHeight="true" outlineLevel="0" collapsed="false">
      <c r="A325" s="15"/>
      <c r="B325" s="16"/>
      <c r="C325" s="16"/>
      <c r="D325" s="16"/>
      <c r="E325" s="16"/>
      <c r="F325" s="16"/>
      <c r="G325" s="16"/>
      <c r="H325" s="16"/>
      <c r="I325" s="16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customFormat="false" ht="12.75" hidden="false" customHeight="true" outlineLevel="0" collapsed="false">
      <c r="A326" s="15"/>
      <c r="B326" s="16"/>
      <c r="C326" s="16"/>
      <c r="D326" s="16"/>
      <c r="E326" s="16"/>
      <c r="F326" s="16"/>
      <c r="G326" s="16"/>
      <c r="H326" s="16"/>
      <c r="I326" s="16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customFormat="false" ht="12.75" hidden="false" customHeight="true" outlineLevel="0" collapsed="false">
      <c r="A327" s="15"/>
      <c r="B327" s="16"/>
      <c r="C327" s="16"/>
      <c r="D327" s="16"/>
      <c r="E327" s="16"/>
      <c r="F327" s="16"/>
      <c r="G327" s="16"/>
      <c r="H327" s="16"/>
      <c r="I327" s="16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customFormat="false" ht="12.75" hidden="false" customHeight="true" outlineLevel="0" collapsed="false">
      <c r="A328" s="15"/>
      <c r="B328" s="16"/>
      <c r="C328" s="16"/>
      <c r="D328" s="16"/>
      <c r="E328" s="16"/>
      <c r="F328" s="16"/>
      <c r="G328" s="16"/>
      <c r="H328" s="16"/>
      <c r="I328" s="16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customFormat="false" ht="12.75" hidden="false" customHeight="true" outlineLevel="0" collapsed="false">
      <c r="A329" s="15"/>
      <c r="B329" s="16"/>
      <c r="C329" s="16"/>
      <c r="D329" s="16"/>
      <c r="E329" s="16"/>
      <c r="F329" s="16"/>
      <c r="G329" s="16"/>
      <c r="H329" s="16"/>
      <c r="I329" s="16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customFormat="false" ht="12.75" hidden="false" customHeight="true" outlineLevel="0" collapsed="false">
      <c r="A330" s="15"/>
      <c r="B330" s="16"/>
      <c r="C330" s="16"/>
      <c r="D330" s="16"/>
      <c r="E330" s="16"/>
      <c r="F330" s="16"/>
      <c r="G330" s="16"/>
      <c r="H330" s="16"/>
      <c r="I330" s="16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customFormat="false" ht="12.75" hidden="false" customHeight="true" outlineLevel="0" collapsed="false">
      <c r="A331" s="15"/>
      <c r="B331" s="16"/>
      <c r="C331" s="16"/>
      <c r="D331" s="16"/>
      <c r="E331" s="16"/>
      <c r="F331" s="16"/>
      <c r="G331" s="16"/>
      <c r="H331" s="16"/>
      <c r="I331" s="16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customFormat="false" ht="12.75" hidden="false" customHeight="true" outlineLevel="0" collapsed="false">
      <c r="A332" s="15"/>
      <c r="B332" s="16"/>
      <c r="C332" s="16"/>
      <c r="D332" s="16"/>
      <c r="E332" s="16"/>
      <c r="F332" s="16"/>
      <c r="G332" s="16"/>
      <c r="H332" s="16"/>
      <c r="I332" s="16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customFormat="false" ht="12.75" hidden="false" customHeight="true" outlineLevel="0" collapsed="false">
      <c r="A333" s="15"/>
      <c r="B333" s="16"/>
      <c r="C333" s="16"/>
      <c r="D333" s="16"/>
      <c r="E333" s="16"/>
      <c r="F333" s="16"/>
      <c r="G333" s="16"/>
      <c r="H333" s="16"/>
      <c r="I333" s="16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customFormat="false" ht="12.75" hidden="false" customHeight="true" outlineLevel="0" collapsed="false">
      <c r="A334" s="15"/>
      <c r="B334" s="16"/>
      <c r="C334" s="16"/>
      <c r="D334" s="16"/>
      <c r="E334" s="16"/>
      <c r="F334" s="16"/>
      <c r="G334" s="16"/>
      <c r="H334" s="16"/>
      <c r="I334" s="16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customFormat="false" ht="12.75" hidden="false" customHeight="true" outlineLevel="0" collapsed="false">
      <c r="A335" s="15"/>
      <c r="B335" s="16"/>
      <c r="C335" s="16"/>
      <c r="D335" s="16"/>
      <c r="E335" s="16"/>
      <c r="F335" s="16"/>
      <c r="G335" s="16"/>
      <c r="H335" s="16"/>
      <c r="I335" s="16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customFormat="false" ht="12.75" hidden="false" customHeight="true" outlineLevel="0" collapsed="false">
      <c r="A336" s="15"/>
      <c r="B336" s="16"/>
      <c r="C336" s="16"/>
      <c r="D336" s="16"/>
      <c r="E336" s="16"/>
      <c r="F336" s="16"/>
      <c r="G336" s="16"/>
      <c r="H336" s="16"/>
      <c r="I336" s="16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customFormat="false" ht="12.75" hidden="false" customHeight="true" outlineLevel="0" collapsed="false">
      <c r="A337" s="15"/>
      <c r="B337" s="16"/>
      <c r="C337" s="16"/>
      <c r="D337" s="16"/>
      <c r="E337" s="16"/>
      <c r="F337" s="16"/>
      <c r="G337" s="16"/>
      <c r="H337" s="16"/>
      <c r="I337" s="16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customFormat="false" ht="12.75" hidden="false" customHeight="true" outlineLevel="0" collapsed="false">
      <c r="A338" s="15"/>
      <c r="B338" s="16"/>
      <c r="C338" s="16"/>
      <c r="D338" s="16"/>
      <c r="E338" s="16"/>
      <c r="F338" s="16"/>
      <c r="G338" s="16"/>
      <c r="H338" s="16"/>
      <c r="I338" s="16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customFormat="false" ht="12.75" hidden="false" customHeight="true" outlineLevel="0" collapsed="false">
      <c r="A339" s="15"/>
      <c r="B339" s="16"/>
      <c r="C339" s="16"/>
      <c r="D339" s="16"/>
      <c r="E339" s="16"/>
      <c r="F339" s="16"/>
      <c r="G339" s="16"/>
      <c r="H339" s="16"/>
      <c r="I339" s="16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customFormat="false" ht="12.75" hidden="false" customHeight="true" outlineLevel="0" collapsed="false">
      <c r="A340" s="15"/>
      <c r="B340" s="16"/>
      <c r="C340" s="16"/>
      <c r="D340" s="16"/>
      <c r="E340" s="16"/>
      <c r="F340" s="16"/>
      <c r="G340" s="16"/>
      <c r="H340" s="16"/>
      <c r="I340" s="16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customFormat="false" ht="12.75" hidden="false" customHeight="true" outlineLevel="0" collapsed="false">
      <c r="A341" s="15"/>
      <c r="B341" s="16"/>
      <c r="C341" s="16"/>
      <c r="D341" s="16"/>
      <c r="E341" s="16"/>
      <c r="F341" s="16"/>
      <c r="G341" s="16"/>
      <c r="H341" s="16"/>
      <c r="I341" s="16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customFormat="false" ht="12.75" hidden="false" customHeight="true" outlineLevel="0" collapsed="false">
      <c r="A342" s="15"/>
      <c r="B342" s="16"/>
      <c r="C342" s="16"/>
      <c r="D342" s="16"/>
      <c r="E342" s="16"/>
      <c r="F342" s="16"/>
      <c r="G342" s="16"/>
      <c r="H342" s="16"/>
      <c r="I342" s="16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customFormat="false" ht="12.75" hidden="false" customHeight="true" outlineLevel="0" collapsed="false">
      <c r="A343" s="15"/>
      <c r="B343" s="16"/>
      <c r="C343" s="16"/>
      <c r="D343" s="16"/>
      <c r="E343" s="16"/>
      <c r="F343" s="16"/>
      <c r="G343" s="16"/>
      <c r="H343" s="16"/>
      <c r="I343" s="16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customFormat="false" ht="12.75" hidden="false" customHeight="true" outlineLevel="0" collapsed="false">
      <c r="A344" s="15"/>
      <c r="B344" s="16"/>
      <c r="C344" s="16"/>
      <c r="D344" s="16"/>
      <c r="E344" s="16"/>
      <c r="F344" s="16"/>
      <c r="G344" s="16"/>
      <c r="H344" s="16"/>
      <c r="I344" s="16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customFormat="false" ht="12.75" hidden="false" customHeight="true" outlineLevel="0" collapsed="false">
      <c r="A345" s="15"/>
      <c r="B345" s="16"/>
      <c r="C345" s="16"/>
      <c r="D345" s="16"/>
      <c r="E345" s="16"/>
      <c r="F345" s="16"/>
      <c r="G345" s="16"/>
      <c r="H345" s="16"/>
      <c r="I345" s="16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customFormat="false" ht="12.75" hidden="false" customHeight="true" outlineLevel="0" collapsed="false">
      <c r="A346" s="15"/>
      <c r="B346" s="16"/>
      <c r="C346" s="16"/>
      <c r="D346" s="16"/>
      <c r="E346" s="16"/>
      <c r="F346" s="16"/>
      <c r="G346" s="16"/>
      <c r="H346" s="16"/>
      <c r="I346" s="16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customFormat="false" ht="12.75" hidden="false" customHeight="true" outlineLevel="0" collapsed="false">
      <c r="A347" s="15"/>
      <c r="B347" s="16"/>
      <c r="C347" s="16"/>
      <c r="D347" s="16"/>
      <c r="E347" s="16"/>
      <c r="F347" s="16"/>
      <c r="G347" s="16"/>
      <c r="H347" s="16"/>
      <c r="I347" s="16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customFormat="false" ht="12.75" hidden="false" customHeight="true" outlineLevel="0" collapsed="false">
      <c r="A348" s="15"/>
      <c r="B348" s="16"/>
      <c r="C348" s="16"/>
      <c r="D348" s="16"/>
      <c r="E348" s="16"/>
      <c r="F348" s="16"/>
      <c r="G348" s="16"/>
      <c r="H348" s="16"/>
      <c r="I348" s="16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customFormat="false" ht="12.75" hidden="false" customHeight="true" outlineLevel="0" collapsed="false">
      <c r="A349" s="15"/>
      <c r="B349" s="16"/>
      <c r="C349" s="16"/>
      <c r="D349" s="16"/>
      <c r="E349" s="16"/>
      <c r="F349" s="16"/>
      <c r="G349" s="16"/>
      <c r="H349" s="16"/>
      <c r="I349" s="16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customFormat="false" ht="12.75" hidden="false" customHeight="true" outlineLevel="0" collapsed="false">
      <c r="A350" s="15"/>
      <c r="B350" s="16"/>
      <c r="C350" s="16"/>
      <c r="D350" s="16"/>
      <c r="E350" s="16"/>
      <c r="F350" s="16"/>
      <c r="G350" s="16"/>
      <c r="H350" s="16"/>
      <c r="I350" s="16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customFormat="false" ht="12.75" hidden="false" customHeight="true" outlineLevel="0" collapsed="false">
      <c r="A351" s="15"/>
      <c r="B351" s="16"/>
      <c r="C351" s="16"/>
      <c r="D351" s="16"/>
      <c r="E351" s="16"/>
      <c r="F351" s="16"/>
      <c r="G351" s="16"/>
      <c r="H351" s="16"/>
      <c r="I351" s="16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customFormat="false" ht="12.75" hidden="false" customHeight="true" outlineLevel="0" collapsed="false">
      <c r="A352" s="15"/>
      <c r="B352" s="16"/>
      <c r="C352" s="16"/>
      <c r="D352" s="16"/>
      <c r="E352" s="16"/>
      <c r="F352" s="16"/>
      <c r="G352" s="16"/>
      <c r="H352" s="16"/>
      <c r="I352" s="16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customFormat="false" ht="12.75" hidden="false" customHeight="true" outlineLevel="0" collapsed="false">
      <c r="A353" s="15"/>
      <c r="B353" s="16"/>
      <c r="C353" s="16"/>
      <c r="D353" s="16"/>
      <c r="E353" s="16"/>
      <c r="F353" s="16"/>
      <c r="G353" s="16"/>
      <c r="H353" s="16"/>
      <c r="I353" s="16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customFormat="false" ht="12.75" hidden="false" customHeight="true" outlineLevel="0" collapsed="false">
      <c r="A354" s="15"/>
      <c r="B354" s="16"/>
      <c r="C354" s="16"/>
      <c r="D354" s="16"/>
      <c r="E354" s="16"/>
      <c r="F354" s="16"/>
      <c r="G354" s="16"/>
      <c r="H354" s="16"/>
      <c r="I354" s="16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customFormat="false" ht="12.75" hidden="false" customHeight="true" outlineLevel="0" collapsed="false">
      <c r="A355" s="15"/>
      <c r="B355" s="16"/>
      <c r="C355" s="16"/>
      <c r="D355" s="16"/>
      <c r="E355" s="16"/>
      <c r="F355" s="16"/>
      <c r="G355" s="16"/>
      <c r="H355" s="16"/>
      <c r="I355" s="16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customFormat="false" ht="12.75" hidden="false" customHeight="true" outlineLevel="0" collapsed="false">
      <c r="A356" s="15"/>
      <c r="B356" s="16"/>
      <c r="C356" s="16"/>
      <c r="D356" s="16"/>
      <c r="E356" s="16"/>
      <c r="F356" s="16"/>
      <c r="G356" s="16"/>
      <c r="H356" s="16"/>
      <c r="I356" s="16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customFormat="false" ht="12.75" hidden="false" customHeight="true" outlineLevel="0" collapsed="false">
      <c r="A357" s="15"/>
      <c r="B357" s="16"/>
      <c r="C357" s="16"/>
      <c r="D357" s="16"/>
      <c r="E357" s="16"/>
      <c r="F357" s="16"/>
      <c r="G357" s="16"/>
      <c r="H357" s="16"/>
      <c r="I357" s="16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customFormat="false" ht="12.75" hidden="false" customHeight="true" outlineLevel="0" collapsed="false">
      <c r="A358" s="15"/>
      <c r="B358" s="16"/>
      <c r="C358" s="16"/>
      <c r="D358" s="16"/>
      <c r="E358" s="16"/>
      <c r="F358" s="16"/>
      <c r="G358" s="16"/>
      <c r="H358" s="16"/>
      <c r="I358" s="16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customFormat="false" ht="12.75" hidden="false" customHeight="true" outlineLevel="0" collapsed="false">
      <c r="A359" s="15"/>
      <c r="B359" s="16"/>
      <c r="C359" s="16"/>
      <c r="D359" s="16"/>
      <c r="E359" s="16"/>
      <c r="F359" s="16"/>
      <c r="G359" s="16"/>
      <c r="H359" s="16"/>
      <c r="I359" s="16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customFormat="false" ht="12.75" hidden="false" customHeight="true" outlineLevel="0" collapsed="false">
      <c r="A360" s="15"/>
      <c r="B360" s="16"/>
      <c r="C360" s="16"/>
      <c r="D360" s="16"/>
      <c r="E360" s="16"/>
      <c r="F360" s="16"/>
      <c r="G360" s="16"/>
      <c r="H360" s="16"/>
      <c r="I360" s="16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customFormat="false" ht="12.75" hidden="false" customHeight="true" outlineLevel="0" collapsed="false">
      <c r="A361" s="15"/>
      <c r="B361" s="16"/>
      <c r="C361" s="16"/>
      <c r="D361" s="16"/>
      <c r="E361" s="16"/>
      <c r="F361" s="16"/>
      <c r="G361" s="16"/>
      <c r="H361" s="16"/>
      <c r="I361" s="16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customFormat="false" ht="12.75" hidden="false" customHeight="true" outlineLevel="0" collapsed="false">
      <c r="A362" s="15"/>
      <c r="B362" s="16"/>
      <c r="C362" s="16"/>
      <c r="D362" s="16"/>
      <c r="E362" s="16"/>
      <c r="F362" s="16"/>
      <c r="G362" s="16"/>
      <c r="H362" s="16"/>
      <c r="I362" s="16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customFormat="false" ht="12.75" hidden="false" customHeight="true" outlineLevel="0" collapsed="false">
      <c r="A363" s="15"/>
      <c r="B363" s="16"/>
      <c r="C363" s="16"/>
      <c r="D363" s="16"/>
      <c r="E363" s="16"/>
      <c r="F363" s="16"/>
      <c r="G363" s="16"/>
      <c r="H363" s="16"/>
      <c r="I363" s="16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customFormat="false" ht="12.75" hidden="false" customHeight="true" outlineLevel="0" collapsed="false">
      <c r="A364" s="15"/>
      <c r="B364" s="16"/>
      <c r="C364" s="16"/>
      <c r="D364" s="16"/>
      <c r="E364" s="16"/>
      <c r="F364" s="16"/>
      <c r="G364" s="16"/>
      <c r="H364" s="16"/>
      <c r="I364" s="16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customFormat="false" ht="12.75" hidden="false" customHeight="true" outlineLevel="0" collapsed="false">
      <c r="A365" s="15"/>
      <c r="B365" s="16"/>
      <c r="C365" s="16"/>
      <c r="D365" s="16"/>
      <c r="E365" s="16"/>
      <c r="F365" s="16"/>
      <c r="G365" s="16"/>
      <c r="H365" s="16"/>
      <c r="I365" s="16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customFormat="false" ht="12.75" hidden="false" customHeight="true" outlineLevel="0" collapsed="false">
      <c r="A366" s="15"/>
      <c r="B366" s="16"/>
      <c r="C366" s="16"/>
      <c r="D366" s="16"/>
      <c r="E366" s="16"/>
      <c r="F366" s="16"/>
      <c r="G366" s="16"/>
      <c r="H366" s="16"/>
      <c r="I366" s="16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customFormat="false" ht="12.75" hidden="false" customHeight="true" outlineLevel="0" collapsed="false">
      <c r="A367" s="15"/>
      <c r="B367" s="16"/>
      <c r="C367" s="16"/>
      <c r="D367" s="16"/>
      <c r="E367" s="16"/>
      <c r="F367" s="16"/>
      <c r="G367" s="16"/>
      <c r="H367" s="16"/>
      <c r="I367" s="16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customFormat="false" ht="12.75" hidden="false" customHeight="true" outlineLevel="0" collapsed="false">
      <c r="A368" s="15"/>
      <c r="B368" s="16"/>
      <c r="C368" s="16"/>
      <c r="D368" s="16"/>
      <c r="E368" s="16"/>
      <c r="F368" s="16"/>
      <c r="G368" s="16"/>
      <c r="H368" s="16"/>
      <c r="I368" s="16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customFormat="false" ht="12.75" hidden="false" customHeight="true" outlineLevel="0" collapsed="false">
      <c r="A369" s="15"/>
      <c r="B369" s="16"/>
      <c r="C369" s="16"/>
      <c r="D369" s="16"/>
      <c r="E369" s="16"/>
      <c r="F369" s="16"/>
      <c r="G369" s="16"/>
      <c r="H369" s="16"/>
      <c r="I369" s="16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customFormat="false" ht="12.75" hidden="false" customHeight="true" outlineLevel="0" collapsed="false">
      <c r="A370" s="15"/>
      <c r="B370" s="16"/>
      <c r="C370" s="16"/>
      <c r="D370" s="16"/>
      <c r="E370" s="16"/>
      <c r="F370" s="16"/>
      <c r="G370" s="16"/>
      <c r="H370" s="16"/>
      <c r="I370" s="16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customFormat="false" ht="12.75" hidden="false" customHeight="true" outlineLevel="0" collapsed="false">
      <c r="A371" s="15"/>
      <c r="B371" s="16"/>
      <c r="C371" s="16"/>
      <c r="D371" s="16"/>
      <c r="E371" s="16"/>
      <c r="F371" s="16"/>
      <c r="G371" s="16"/>
      <c r="H371" s="16"/>
      <c r="I371" s="16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customFormat="false" ht="12.75" hidden="false" customHeight="true" outlineLevel="0" collapsed="false">
      <c r="A372" s="15"/>
      <c r="B372" s="16"/>
      <c r="C372" s="16"/>
      <c r="D372" s="16"/>
      <c r="E372" s="16"/>
      <c r="F372" s="16"/>
      <c r="G372" s="16"/>
      <c r="H372" s="16"/>
      <c r="I372" s="16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customFormat="false" ht="12.75" hidden="false" customHeight="true" outlineLevel="0" collapsed="false">
      <c r="A373" s="15"/>
      <c r="B373" s="16"/>
      <c r="C373" s="16"/>
      <c r="D373" s="16"/>
      <c r="E373" s="16"/>
      <c r="F373" s="16"/>
      <c r="G373" s="16"/>
      <c r="H373" s="16"/>
      <c r="I373" s="16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customFormat="false" ht="12.75" hidden="false" customHeight="true" outlineLevel="0" collapsed="false">
      <c r="A374" s="15"/>
      <c r="B374" s="16"/>
      <c r="C374" s="16"/>
      <c r="D374" s="16"/>
      <c r="E374" s="16"/>
      <c r="F374" s="16"/>
      <c r="G374" s="16"/>
      <c r="H374" s="16"/>
      <c r="I374" s="16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customFormat="false" ht="12.75" hidden="false" customHeight="true" outlineLevel="0" collapsed="false">
      <c r="A375" s="15"/>
      <c r="B375" s="16"/>
      <c r="C375" s="16"/>
      <c r="D375" s="16"/>
      <c r="E375" s="16"/>
      <c r="F375" s="16"/>
      <c r="G375" s="16"/>
      <c r="H375" s="16"/>
      <c r="I375" s="16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customFormat="false" ht="12.75" hidden="false" customHeight="true" outlineLevel="0" collapsed="false">
      <c r="A376" s="15"/>
      <c r="B376" s="16"/>
      <c r="C376" s="16"/>
      <c r="D376" s="16"/>
      <c r="E376" s="16"/>
      <c r="F376" s="16"/>
      <c r="G376" s="16"/>
      <c r="H376" s="16"/>
      <c r="I376" s="16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customFormat="false" ht="12.75" hidden="false" customHeight="true" outlineLevel="0" collapsed="false">
      <c r="A377" s="15"/>
      <c r="B377" s="16"/>
      <c r="C377" s="16"/>
      <c r="D377" s="16"/>
      <c r="E377" s="16"/>
      <c r="F377" s="16"/>
      <c r="G377" s="16"/>
      <c r="H377" s="16"/>
      <c r="I377" s="16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customFormat="false" ht="12.75" hidden="false" customHeight="true" outlineLevel="0" collapsed="false">
      <c r="A378" s="15"/>
      <c r="B378" s="16"/>
      <c r="C378" s="16"/>
      <c r="D378" s="16"/>
      <c r="E378" s="16"/>
      <c r="F378" s="16"/>
      <c r="G378" s="16"/>
      <c r="H378" s="16"/>
      <c r="I378" s="16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customFormat="false" ht="12.75" hidden="false" customHeight="true" outlineLevel="0" collapsed="false">
      <c r="A379" s="15"/>
      <c r="B379" s="16"/>
      <c r="C379" s="16"/>
      <c r="D379" s="16"/>
      <c r="E379" s="16"/>
      <c r="F379" s="16"/>
      <c r="G379" s="16"/>
      <c r="H379" s="16"/>
      <c r="I379" s="16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customFormat="false" ht="12.75" hidden="false" customHeight="true" outlineLevel="0" collapsed="false">
      <c r="A380" s="15"/>
      <c r="B380" s="16"/>
      <c r="C380" s="16"/>
      <c r="D380" s="16"/>
      <c r="E380" s="16"/>
      <c r="F380" s="16"/>
      <c r="G380" s="16"/>
      <c r="H380" s="16"/>
      <c r="I380" s="16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customFormat="false" ht="12.75" hidden="false" customHeight="true" outlineLevel="0" collapsed="false">
      <c r="A381" s="15"/>
      <c r="B381" s="16"/>
      <c r="C381" s="16"/>
      <c r="D381" s="16"/>
      <c r="E381" s="16"/>
      <c r="F381" s="16"/>
      <c r="G381" s="16"/>
      <c r="H381" s="16"/>
      <c r="I381" s="16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customFormat="false" ht="12.75" hidden="false" customHeight="true" outlineLevel="0" collapsed="false">
      <c r="A382" s="15"/>
      <c r="B382" s="16"/>
      <c r="C382" s="16"/>
      <c r="D382" s="16"/>
      <c r="E382" s="16"/>
      <c r="F382" s="16"/>
      <c r="G382" s="16"/>
      <c r="H382" s="16"/>
      <c r="I382" s="16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customFormat="false" ht="12.75" hidden="false" customHeight="true" outlineLevel="0" collapsed="false">
      <c r="A383" s="15"/>
      <c r="B383" s="16"/>
      <c r="C383" s="16"/>
      <c r="D383" s="16"/>
      <c r="E383" s="16"/>
      <c r="F383" s="16"/>
      <c r="G383" s="16"/>
      <c r="H383" s="16"/>
      <c r="I383" s="16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customFormat="false" ht="12.75" hidden="false" customHeight="true" outlineLevel="0" collapsed="false">
      <c r="A384" s="15"/>
      <c r="B384" s="16"/>
      <c r="C384" s="16"/>
      <c r="D384" s="16"/>
      <c r="E384" s="16"/>
      <c r="F384" s="16"/>
      <c r="G384" s="16"/>
      <c r="H384" s="16"/>
      <c r="I384" s="16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customFormat="false" ht="12.75" hidden="false" customHeight="true" outlineLevel="0" collapsed="false">
      <c r="A385" s="15"/>
      <c r="B385" s="16"/>
      <c r="C385" s="16"/>
      <c r="D385" s="16"/>
      <c r="E385" s="16"/>
      <c r="F385" s="16"/>
      <c r="G385" s="16"/>
      <c r="H385" s="16"/>
      <c r="I385" s="16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customFormat="false" ht="12.75" hidden="false" customHeight="true" outlineLevel="0" collapsed="false">
      <c r="A386" s="15"/>
      <c r="B386" s="16"/>
      <c r="C386" s="16"/>
      <c r="D386" s="16"/>
      <c r="E386" s="16"/>
      <c r="F386" s="16"/>
      <c r="G386" s="16"/>
      <c r="H386" s="16"/>
      <c r="I386" s="16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customFormat="false" ht="12.75" hidden="false" customHeight="true" outlineLevel="0" collapsed="false">
      <c r="A387" s="15"/>
      <c r="B387" s="16"/>
      <c r="C387" s="16"/>
      <c r="D387" s="16"/>
      <c r="E387" s="16"/>
      <c r="F387" s="16"/>
      <c r="G387" s="16"/>
      <c r="H387" s="16"/>
      <c r="I387" s="16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customFormat="false" ht="12.75" hidden="false" customHeight="true" outlineLevel="0" collapsed="false">
      <c r="A388" s="15"/>
      <c r="B388" s="16"/>
      <c r="C388" s="16"/>
      <c r="D388" s="16"/>
      <c r="E388" s="16"/>
      <c r="F388" s="16"/>
      <c r="G388" s="16"/>
      <c r="H388" s="16"/>
      <c r="I388" s="16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customFormat="false" ht="12.75" hidden="false" customHeight="true" outlineLevel="0" collapsed="false">
      <c r="A389" s="15"/>
      <c r="B389" s="16"/>
      <c r="C389" s="16"/>
      <c r="D389" s="16"/>
      <c r="E389" s="16"/>
      <c r="F389" s="16"/>
      <c r="G389" s="16"/>
      <c r="H389" s="16"/>
      <c r="I389" s="16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customFormat="false" ht="12.75" hidden="false" customHeight="true" outlineLevel="0" collapsed="false">
      <c r="A390" s="15"/>
      <c r="B390" s="16"/>
      <c r="C390" s="16"/>
      <c r="D390" s="16"/>
      <c r="E390" s="16"/>
      <c r="F390" s="16"/>
      <c r="G390" s="16"/>
      <c r="H390" s="16"/>
      <c r="I390" s="16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customFormat="false" ht="12.75" hidden="false" customHeight="true" outlineLevel="0" collapsed="false">
      <c r="A391" s="15"/>
      <c r="B391" s="16"/>
      <c r="C391" s="16"/>
      <c r="D391" s="16"/>
      <c r="E391" s="16"/>
      <c r="F391" s="16"/>
      <c r="G391" s="16"/>
      <c r="H391" s="16"/>
      <c r="I391" s="16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customFormat="false" ht="12.75" hidden="false" customHeight="true" outlineLevel="0" collapsed="false">
      <c r="A392" s="15"/>
      <c r="B392" s="16"/>
      <c r="C392" s="16"/>
      <c r="D392" s="16"/>
      <c r="E392" s="16"/>
      <c r="F392" s="16"/>
      <c r="G392" s="16"/>
      <c r="H392" s="16"/>
      <c r="I392" s="16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customFormat="false" ht="12.75" hidden="false" customHeight="true" outlineLevel="0" collapsed="false">
      <c r="A393" s="15"/>
      <c r="B393" s="16"/>
      <c r="C393" s="16"/>
      <c r="D393" s="16"/>
      <c r="E393" s="16"/>
      <c r="F393" s="16"/>
      <c r="G393" s="16"/>
      <c r="H393" s="16"/>
      <c r="I393" s="16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customFormat="false" ht="12.75" hidden="false" customHeight="true" outlineLevel="0" collapsed="false">
      <c r="A394" s="15"/>
      <c r="B394" s="16"/>
      <c r="C394" s="16"/>
      <c r="D394" s="16"/>
      <c r="E394" s="16"/>
      <c r="F394" s="16"/>
      <c r="G394" s="16"/>
      <c r="H394" s="16"/>
      <c r="I394" s="16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customFormat="false" ht="12.75" hidden="false" customHeight="true" outlineLevel="0" collapsed="false">
      <c r="A395" s="15"/>
      <c r="B395" s="16"/>
      <c r="C395" s="16"/>
      <c r="D395" s="16"/>
      <c r="E395" s="16"/>
      <c r="F395" s="16"/>
      <c r="G395" s="16"/>
      <c r="H395" s="16"/>
      <c r="I395" s="16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customFormat="false" ht="12.75" hidden="false" customHeight="true" outlineLevel="0" collapsed="false">
      <c r="A396" s="15"/>
      <c r="B396" s="16"/>
      <c r="C396" s="16"/>
      <c r="D396" s="16"/>
      <c r="E396" s="16"/>
      <c r="F396" s="16"/>
      <c r="G396" s="16"/>
      <c r="H396" s="16"/>
      <c r="I396" s="16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customFormat="false" ht="12.75" hidden="false" customHeight="true" outlineLevel="0" collapsed="false">
      <c r="A397" s="15"/>
      <c r="B397" s="16"/>
      <c r="C397" s="16"/>
      <c r="D397" s="16"/>
      <c r="E397" s="16"/>
      <c r="F397" s="16"/>
      <c r="G397" s="16"/>
      <c r="H397" s="16"/>
      <c r="I397" s="16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customFormat="false" ht="12.75" hidden="false" customHeight="true" outlineLevel="0" collapsed="false">
      <c r="A398" s="15"/>
      <c r="B398" s="16"/>
      <c r="C398" s="16"/>
      <c r="D398" s="16"/>
      <c r="E398" s="16"/>
      <c r="F398" s="16"/>
      <c r="G398" s="16"/>
      <c r="H398" s="16"/>
      <c r="I398" s="16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customFormat="false" ht="12.75" hidden="false" customHeight="true" outlineLevel="0" collapsed="false">
      <c r="A399" s="15"/>
      <c r="B399" s="16"/>
      <c r="C399" s="16"/>
      <c r="D399" s="16"/>
      <c r="E399" s="16"/>
      <c r="F399" s="16"/>
      <c r="G399" s="16"/>
      <c r="H399" s="16"/>
      <c r="I399" s="16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customFormat="false" ht="12.75" hidden="false" customHeight="true" outlineLevel="0" collapsed="false">
      <c r="A400" s="15"/>
      <c r="B400" s="16"/>
      <c r="C400" s="16"/>
      <c r="D400" s="16"/>
      <c r="E400" s="16"/>
      <c r="F400" s="16"/>
      <c r="G400" s="16"/>
      <c r="H400" s="16"/>
      <c r="I400" s="16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customFormat="false" ht="12.75" hidden="false" customHeight="true" outlineLevel="0" collapsed="false">
      <c r="A401" s="15"/>
      <c r="B401" s="16"/>
      <c r="C401" s="16"/>
      <c r="D401" s="16"/>
      <c r="E401" s="16"/>
      <c r="F401" s="16"/>
      <c r="G401" s="16"/>
      <c r="H401" s="16"/>
      <c r="I401" s="16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customFormat="false" ht="12.75" hidden="false" customHeight="true" outlineLevel="0" collapsed="false">
      <c r="A402" s="15"/>
      <c r="B402" s="16"/>
      <c r="C402" s="16"/>
      <c r="D402" s="16"/>
      <c r="E402" s="16"/>
      <c r="F402" s="16"/>
      <c r="G402" s="16"/>
      <c r="H402" s="16"/>
      <c r="I402" s="16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customFormat="false" ht="12.75" hidden="false" customHeight="true" outlineLevel="0" collapsed="false">
      <c r="A403" s="15"/>
      <c r="B403" s="16"/>
      <c r="C403" s="16"/>
      <c r="D403" s="16"/>
      <c r="E403" s="16"/>
      <c r="F403" s="16"/>
      <c r="G403" s="16"/>
      <c r="H403" s="16"/>
      <c r="I403" s="16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customFormat="false" ht="12.75" hidden="false" customHeight="true" outlineLevel="0" collapsed="false">
      <c r="A404" s="15"/>
      <c r="B404" s="16"/>
      <c r="C404" s="16"/>
      <c r="D404" s="16"/>
      <c r="E404" s="16"/>
      <c r="F404" s="16"/>
      <c r="G404" s="16"/>
      <c r="H404" s="16"/>
      <c r="I404" s="16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customFormat="false" ht="12.75" hidden="false" customHeight="true" outlineLevel="0" collapsed="false">
      <c r="A405" s="15"/>
      <c r="B405" s="16"/>
      <c r="C405" s="16"/>
      <c r="D405" s="16"/>
      <c r="E405" s="16"/>
      <c r="F405" s="16"/>
      <c r="G405" s="16"/>
      <c r="H405" s="16"/>
      <c r="I405" s="16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customFormat="false" ht="12.75" hidden="false" customHeight="true" outlineLevel="0" collapsed="false">
      <c r="A406" s="15"/>
      <c r="B406" s="16"/>
      <c r="C406" s="16"/>
      <c r="D406" s="16"/>
      <c r="E406" s="16"/>
      <c r="F406" s="16"/>
      <c r="G406" s="16"/>
      <c r="H406" s="16"/>
      <c r="I406" s="16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customFormat="false" ht="12.75" hidden="false" customHeight="true" outlineLevel="0" collapsed="false">
      <c r="A407" s="15"/>
      <c r="B407" s="16"/>
      <c r="C407" s="16"/>
      <c r="D407" s="16"/>
      <c r="E407" s="16"/>
      <c r="F407" s="16"/>
      <c r="G407" s="16"/>
      <c r="H407" s="16"/>
      <c r="I407" s="16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customFormat="false" ht="12.75" hidden="false" customHeight="true" outlineLevel="0" collapsed="false">
      <c r="A408" s="15"/>
      <c r="B408" s="16"/>
      <c r="C408" s="16"/>
      <c r="D408" s="16"/>
      <c r="E408" s="16"/>
      <c r="F408" s="16"/>
      <c r="G408" s="16"/>
      <c r="H408" s="16"/>
      <c r="I408" s="16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customFormat="false" ht="12.75" hidden="false" customHeight="true" outlineLevel="0" collapsed="false">
      <c r="A409" s="15"/>
      <c r="B409" s="16"/>
      <c r="C409" s="16"/>
      <c r="D409" s="16"/>
      <c r="E409" s="16"/>
      <c r="F409" s="16"/>
      <c r="G409" s="16"/>
      <c r="H409" s="16"/>
      <c r="I409" s="16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customFormat="false" ht="12.75" hidden="false" customHeight="true" outlineLevel="0" collapsed="false">
      <c r="A410" s="15"/>
      <c r="B410" s="16"/>
      <c r="C410" s="16"/>
      <c r="D410" s="16"/>
      <c r="E410" s="16"/>
      <c r="F410" s="16"/>
      <c r="G410" s="16"/>
      <c r="H410" s="16"/>
      <c r="I410" s="16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customFormat="false" ht="12.75" hidden="false" customHeight="true" outlineLevel="0" collapsed="false">
      <c r="A411" s="15"/>
      <c r="B411" s="16"/>
      <c r="C411" s="16"/>
      <c r="D411" s="16"/>
      <c r="E411" s="16"/>
      <c r="F411" s="16"/>
      <c r="G411" s="16"/>
      <c r="H411" s="16"/>
      <c r="I411" s="16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customFormat="false" ht="12.75" hidden="false" customHeight="true" outlineLevel="0" collapsed="false">
      <c r="A412" s="15"/>
      <c r="B412" s="16"/>
      <c r="C412" s="16"/>
      <c r="D412" s="16"/>
      <c r="E412" s="16"/>
      <c r="F412" s="16"/>
      <c r="G412" s="16"/>
      <c r="H412" s="16"/>
      <c r="I412" s="16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customFormat="false" ht="12.75" hidden="false" customHeight="true" outlineLevel="0" collapsed="false">
      <c r="A413" s="15"/>
      <c r="B413" s="16"/>
      <c r="C413" s="16"/>
      <c r="D413" s="16"/>
      <c r="E413" s="16"/>
      <c r="F413" s="16"/>
      <c r="G413" s="16"/>
      <c r="H413" s="16"/>
      <c r="I413" s="16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customFormat="false" ht="12.75" hidden="false" customHeight="true" outlineLevel="0" collapsed="false">
      <c r="A414" s="15"/>
      <c r="B414" s="16"/>
      <c r="C414" s="16"/>
      <c r="D414" s="16"/>
      <c r="E414" s="16"/>
      <c r="F414" s="16"/>
      <c r="G414" s="16"/>
      <c r="H414" s="16"/>
      <c r="I414" s="16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customFormat="false" ht="12.75" hidden="false" customHeight="true" outlineLevel="0" collapsed="false">
      <c r="A415" s="15"/>
      <c r="B415" s="16"/>
      <c r="C415" s="16"/>
      <c r="D415" s="16"/>
      <c r="E415" s="16"/>
      <c r="F415" s="16"/>
      <c r="G415" s="16"/>
      <c r="H415" s="16"/>
      <c r="I415" s="16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customFormat="false" ht="12.75" hidden="false" customHeight="true" outlineLevel="0" collapsed="false">
      <c r="A416" s="15"/>
      <c r="B416" s="16"/>
      <c r="C416" s="16"/>
      <c r="D416" s="16"/>
      <c r="E416" s="16"/>
      <c r="F416" s="16"/>
      <c r="G416" s="16"/>
      <c r="H416" s="16"/>
      <c r="I416" s="16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customFormat="false" ht="12.75" hidden="false" customHeight="true" outlineLevel="0" collapsed="false">
      <c r="A417" s="15"/>
      <c r="B417" s="16"/>
      <c r="C417" s="16"/>
      <c r="D417" s="16"/>
      <c r="E417" s="16"/>
      <c r="F417" s="16"/>
      <c r="G417" s="16"/>
      <c r="H417" s="16"/>
      <c r="I417" s="16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customFormat="false" ht="12.75" hidden="false" customHeight="true" outlineLevel="0" collapsed="false">
      <c r="A418" s="15"/>
      <c r="B418" s="16"/>
      <c r="C418" s="16"/>
      <c r="D418" s="16"/>
      <c r="E418" s="16"/>
      <c r="F418" s="16"/>
      <c r="G418" s="16"/>
      <c r="H418" s="16"/>
      <c r="I418" s="16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customFormat="false" ht="12.75" hidden="false" customHeight="true" outlineLevel="0" collapsed="false">
      <c r="A419" s="15"/>
      <c r="B419" s="16"/>
      <c r="C419" s="16"/>
      <c r="D419" s="16"/>
      <c r="E419" s="16"/>
      <c r="F419" s="16"/>
      <c r="G419" s="16"/>
      <c r="H419" s="16"/>
      <c r="I419" s="16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customFormat="false" ht="12.75" hidden="false" customHeight="true" outlineLevel="0" collapsed="false">
      <c r="A420" s="15"/>
      <c r="B420" s="16"/>
      <c r="C420" s="16"/>
      <c r="D420" s="16"/>
      <c r="E420" s="16"/>
      <c r="F420" s="16"/>
      <c r="G420" s="16"/>
      <c r="H420" s="16"/>
      <c r="I420" s="16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customFormat="false" ht="12.75" hidden="false" customHeight="true" outlineLevel="0" collapsed="false">
      <c r="A421" s="15"/>
      <c r="B421" s="16"/>
      <c r="C421" s="16"/>
      <c r="D421" s="16"/>
      <c r="E421" s="16"/>
      <c r="F421" s="16"/>
      <c r="G421" s="16"/>
      <c r="H421" s="16"/>
      <c r="I421" s="16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customFormat="false" ht="12.75" hidden="false" customHeight="true" outlineLevel="0" collapsed="false">
      <c r="A422" s="15"/>
      <c r="B422" s="16"/>
      <c r="C422" s="16"/>
      <c r="D422" s="16"/>
      <c r="E422" s="16"/>
      <c r="F422" s="16"/>
      <c r="G422" s="16"/>
      <c r="H422" s="16"/>
      <c r="I422" s="16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customFormat="false" ht="12.75" hidden="false" customHeight="true" outlineLevel="0" collapsed="false">
      <c r="A423" s="15"/>
      <c r="B423" s="16"/>
      <c r="C423" s="16"/>
      <c r="D423" s="16"/>
      <c r="E423" s="16"/>
      <c r="F423" s="16"/>
      <c r="G423" s="16"/>
      <c r="H423" s="16"/>
      <c r="I423" s="16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customFormat="false" ht="12.75" hidden="false" customHeight="true" outlineLevel="0" collapsed="false">
      <c r="A424" s="15"/>
      <c r="B424" s="16"/>
      <c r="C424" s="16"/>
      <c r="D424" s="16"/>
      <c r="E424" s="16"/>
      <c r="F424" s="16"/>
      <c r="G424" s="16"/>
      <c r="H424" s="16"/>
      <c r="I424" s="16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customFormat="false" ht="12.75" hidden="false" customHeight="true" outlineLevel="0" collapsed="false">
      <c r="A425" s="15"/>
      <c r="B425" s="16"/>
      <c r="C425" s="16"/>
      <c r="D425" s="16"/>
      <c r="E425" s="16"/>
      <c r="F425" s="16"/>
      <c r="G425" s="16"/>
      <c r="H425" s="16"/>
      <c r="I425" s="16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customFormat="false" ht="12.75" hidden="false" customHeight="true" outlineLevel="0" collapsed="false">
      <c r="A426" s="15"/>
      <c r="B426" s="16"/>
      <c r="C426" s="16"/>
      <c r="D426" s="16"/>
      <c r="E426" s="16"/>
      <c r="F426" s="16"/>
      <c r="G426" s="16"/>
      <c r="H426" s="16"/>
      <c r="I426" s="16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customFormat="false" ht="12.75" hidden="false" customHeight="true" outlineLevel="0" collapsed="false">
      <c r="A427" s="15"/>
      <c r="B427" s="16"/>
      <c r="C427" s="16"/>
      <c r="D427" s="16"/>
      <c r="E427" s="16"/>
      <c r="F427" s="16"/>
      <c r="G427" s="16"/>
      <c r="H427" s="16"/>
      <c r="I427" s="16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customFormat="false" ht="12.75" hidden="false" customHeight="true" outlineLevel="0" collapsed="false">
      <c r="A428" s="15"/>
      <c r="B428" s="16"/>
      <c r="C428" s="16"/>
      <c r="D428" s="16"/>
      <c r="E428" s="16"/>
      <c r="F428" s="16"/>
      <c r="G428" s="16"/>
      <c r="H428" s="16"/>
      <c r="I428" s="16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customFormat="false" ht="12.75" hidden="false" customHeight="true" outlineLevel="0" collapsed="false">
      <c r="A429" s="15"/>
      <c r="B429" s="16"/>
      <c r="C429" s="16"/>
      <c r="D429" s="16"/>
      <c r="E429" s="16"/>
      <c r="F429" s="16"/>
      <c r="G429" s="16"/>
      <c r="H429" s="16"/>
      <c r="I429" s="16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customFormat="false" ht="12.75" hidden="false" customHeight="true" outlineLevel="0" collapsed="false">
      <c r="A430" s="15"/>
      <c r="B430" s="16"/>
      <c r="C430" s="16"/>
      <c r="D430" s="16"/>
      <c r="E430" s="16"/>
      <c r="F430" s="16"/>
      <c r="G430" s="16"/>
      <c r="H430" s="16"/>
      <c r="I430" s="16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customFormat="false" ht="12.75" hidden="false" customHeight="true" outlineLevel="0" collapsed="false">
      <c r="A431" s="15"/>
      <c r="B431" s="16"/>
      <c r="C431" s="16"/>
      <c r="D431" s="16"/>
      <c r="E431" s="16"/>
      <c r="F431" s="16"/>
      <c r="G431" s="16"/>
      <c r="H431" s="16"/>
      <c r="I431" s="16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customFormat="false" ht="12.75" hidden="false" customHeight="true" outlineLevel="0" collapsed="false">
      <c r="A432" s="15"/>
      <c r="B432" s="16"/>
      <c r="C432" s="16"/>
      <c r="D432" s="16"/>
      <c r="E432" s="16"/>
      <c r="F432" s="16"/>
      <c r="G432" s="16"/>
      <c r="H432" s="16"/>
      <c r="I432" s="16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customFormat="false" ht="12.75" hidden="false" customHeight="true" outlineLevel="0" collapsed="false">
      <c r="A433" s="15"/>
      <c r="B433" s="16"/>
      <c r="C433" s="16"/>
      <c r="D433" s="16"/>
      <c r="E433" s="16"/>
      <c r="F433" s="16"/>
      <c r="G433" s="16"/>
      <c r="H433" s="16"/>
      <c r="I433" s="16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customFormat="false" ht="12.75" hidden="false" customHeight="true" outlineLevel="0" collapsed="false">
      <c r="A434" s="15"/>
      <c r="B434" s="16"/>
      <c r="C434" s="16"/>
      <c r="D434" s="16"/>
      <c r="E434" s="16"/>
      <c r="F434" s="16"/>
      <c r="G434" s="16"/>
      <c r="H434" s="16"/>
      <c r="I434" s="16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customFormat="false" ht="12.75" hidden="false" customHeight="true" outlineLevel="0" collapsed="false">
      <c r="A435" s="15"/>
      <c r="B435" s="16"/>
      <c r="C435" s="16"/>
      <c r="D435" s="16"/>
      <c r="E435" s="16"/>
      <c r="F435" s="16"/>
      <c r="G435" s="16"/>
      <c r="H435" s="16"/>
      <c r="I435" s="16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customFormat="false" ht="12.75" hidden="false" customHeight="true" outlineLevel="0" collapsed="false">
      <c r="A436" s="15"/>
      <c r="B436" s="16"/>
      <c r="C436" s="16"/>
      <c r="D436" s="16"/>
      <c r="E436" s="16"/>
      <c r="F436" s="16"/>
      <c r="G436" s="16"/>
      <c r="H436" s="16"/>
      <c r="I436" s="16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customFormat="false" ht="12.75" hidden="false" customHeight="true" outlineLevel="0" collapsed="false">
      <c r="A437" s="15"/>
      <c r="B437" s="16"/>
      <c r="C437" s="16"/>
      <c r="D437" s="16"/>
      <c r="E437" s="16"/>
      <c r="F437" s="16"/>
      <c r="G437" s="16"/>
      <c r="H437" s="16"/>
      <c r="I437" s="16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customFormat="false" ht="12.75" hidden="false" customHeight="true" outlineLevel="0" collapsed="false">
      <c r="A438" s="15"/>
      <c r="B438" s="16"/>
      <c r="C438" s="16"/>
      <c r="D438" s="16"/>
      <c r="E438" s="16"/>
      <c r="F438" s="16"/>
      <c r="G438" s="16"/>
      <c r="H438" s="16"/>
      <c r="I438" s="16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customFormat="false" ht="12.75" hidden="false" customHeight="true" outlineLevel="0" collapsed="false">
      <c r="A439" s="15"/>
      <c r="B439" s="16"/>
      <c r="C439" s="16"/>
      <c r="D439" s="16"/>
      <c r="E439" s="16"/>
      <c r="F439" s="16"/>
      <c r="G439" s="16"/>
      <c r="H439" s="16"/>
      <c r="I439" s="16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customFormat="false" ht="12.75" hidden="false" customHeight="true" outlineLevel="0" collapsed="false">
      <c r="A440" s="15"/>
      <c r="B440" s="16"/>
      <c r="C440" s="16"/>
      <c r="D440" s="16"/>
      <c r="E440" s="16"/>
      <c r="F440" s="16"/>
      <c r="G440" s="16"/>
      <c r="H440" s="16"/>
      <c r="I440" s="16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customFormat="false" ht="12.75" hidden="false" customHeight="true" outlineLevel="0" collapsed="false">
      <c r="A441" s="15"/>
      <c r="B441" s="16"/>
      <c r="C441" s="16"/>
      <c r="D441" s="16"/>
      <c r="E441" s="16"/>
      <c r="F441" s="16"/>
      <c r="G441" s="16"/>
      <c r="H441" s="16"/>
      <c r="I441" s="16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customFormat="false" ht="12.75" hidden="false" customHeight="true" outlineLevel="0" collapsed="false">
      <c r="A442" s="15"/>
      <c r="B442" s="16"/>
      <c r="C442" s="16"/>
      <c r="D442" s="16"/>
      <c r="E442" s="16"/>
      <c r="F442" s="16"/>
      <c r="G442" s="16"/>
      <c r="H442" s="16"/>
      <c r="I442" s="16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customFormat="false" ht="12.75" hidden="false" customHeight="true" outlineLevel="0" collapsed="false">
      <c r="A443" s="15"/>
      <c r="B443" s="16"/>
      <c r="C443" s="16"/>
      <c r="D443" s="16"/>
      <c r="E443" s="16"/>
      <c r="F443" s="16"/>
      <c r="G443" s="16"/>
      <c r="H443" s="16"/>
      <c r="I443" s="16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customFormat="false" ht="12.75" hidden="false" customHeight="true" outlineLevel="0" collapsed="false">
      <c r="A444" s="15"/>
      <c r="B444" s="16"/>
      <c r="C444" s="16"/>
      <c r="D444" s="16"/>
      <c r="E444" s="16"/>
      <c r="F444" s="16"/>
      <c r="G444" s="16"/>
      <c r="H444" s="16"/>
      <c r="I444" s="16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customFormat="false" ht="12.75" hidden="false" customHeight="true" outlineLevel="0" collapsed="false">
      <c r="A445" s="15"/>
      <c r="B445" s="16"/>
      <c r="C445" s="16"/>
      <c r="D445" s="16"/>
      <c r="E445" s="16"/>
      <c r="F445" s="16"/>
      <c r="G445" s="16"/>
      <c r="H445" s="16"/>
      <c r="I445" s="16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customFormat="false" ht="12.75" hidden="false" customHeight="true" outlineLevel="0" collapsed="false">
      <c r="A446" s="15"/>
      <c r="B446" s="16"/>
      <c r="C446" s="16"/>
      <c r="D446" s="16"/>
      <c r="E446" s="16"/>
      <c r="F446" s="16"/>
      <c r="G446" s="16"/>
      <c r="H446" s="16"/>
      <c r="I446" s="16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customFormat="false" ht="12.75" hidden="false" customHeight="true" outlineLevel="0" collapsed="false">
      <c r="A447" s="15"/>
      <c r="B447" s="16"/>
      <c r="C447" s="16"/>
      <c r="D447" s="16"/>
      <c r="E447" s="16"/>
      <c r="F447" s="16"/>
      <c r="G447" s="16"/>
      <c r="H447" s="16"/>
      <c r="I447" s="16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customFormat="false" ht="12.75" hidden="false" customHeight="true" outlineLevel="0" collapsed="false">
      <c r="A448" s="15"/>
      <c r="B448" s="16"/>
      <c r="C448" s="16"/>
      <c r="D448" s="16"/>
      <c r="E448" s="16"/>
      <c r="F448" s="16"/>
      <c r="G448" s="16"/>
      <c r="H448" s="16"/>
      <c r="I448" s="16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customFormat="false" ht="12.75" hidden="false" customHeight="true" outlineLevel="0" collapsed="false">
      <c r="A449" s="15"/>
      <c r="B449" s="16"/>
      <c r="C449" s="16"/>
      <c r="D449" s="16"/>
      <c r="E449" s="16"/>
      <c r="F449" s="16"/>
      <c r="G449" s="16"/>
      <c r="H449" s="16"/>
      <c r="I449" s="16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customFormat="false" ht="12.75" hidden="false" customHeight="true" outlineLevel="0" collapsed="false">
      <c r="A450" s="15"/>
      <c r="B450" s="16"/>
      <c r="C450" s="16"/>
      <c r="D450" s="16"/>
      <c r="E450" s="16"/>
      <c r="F450" s="16"/>
      <c r="G450" s="16"/>
      <c r="H450" s="16"/>
      <c r="I450" s="16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customFormat="false" ht="12.75" hidden="false" customHeight="true" outlineLevel="0" collapsed="false">
      <c r="A451" s="15"/>
      <c r="B451" s="16"/>
      <c r="C451" s="16"/>
      <c r="D451" s="16"/>
      <c r="E451" s="16"/>
      <c r="F451" s="16"/>
      <c r="G451" s="16"/>
      <c r="H451" s="16"/>
      <c r="I451" s="16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customFormat="false" ht="12.75" hidden="false" customHeight="true" outlineLevel="0" collapsed="false">
      <c r="A452" s="15"/>
      <c r="B452" s="16"/>
      <c r="C452" s="16"/>
      <c r="D452" s="16"/>
      <c r="E452" s="16"/>
      <c r="F452" s="16"/>
      <c r="G452" s="16"/>
      <c r="H452" s="16"/>
      <c r="I452" s="16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customFormat="false" ht="12.75" hidden="false" customHeight="true" outlineLevel="0" collapsed="false">
      <c r="A453" s="15"/>
      <c r="B453" s="16"/>
      <c r="C453" s="16"/>
      <c r="D453" s="16"/>
      <c r="E453" s="16"/>
      <c r="F453" s="16"/>
      <c r="G453" s="16"/>
      <c r="H453" s="16"/>
      <c r="I453" s="16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customFormat="false" ht="12.75" hidden="false" customHeight="true" outlineLevel="0" collapsed="false">
      <c r="A454" s="15"/>
      <c r="B454" s="16"/>
      <c r="C454" s="16"/>
      <c r="D454" s="16"/>
      <c r="E454" s="16"/>
      <c r="F454" s="16"/>
      <c r="G454" s="16"/>
      <c r="H454" s="16"/>
      <c r="I454" s="16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customFormat="false" ht="12.75" hidden="false" customHeight="true" outlineLevel="0" collapsed="false">
      <c r="A455" s="15"/>
      <c r="B455" s="16"/>
      <c r="C455" s="16"/>
      <c r="D455" s="16"/>
      <c r="E455" s="16"/>
      <c r="F455" s="16"/>
      <c r="G455" s="16"/>
      <c r="H455" s="16"/>
      <c r="I455" s="16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customFormat="false" ht="12.75" hidden="false" customHeight="true" outlineLevel="0" collapsed="false">
      <c r="A456" s="15"/>
      <c r="B456" s="16"/>
      <c r="C456" s="16"/>
      <c r="D456" s="16"/>
      <c r="E456" s="16"/>
      <c r="F456" s="16"/>
      <c r="G456" s="16"/>
      <c r="H456" s="16"/>
      <c r="I456" s="16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customFormat="false" ht="12.75" hidden="false" customHeight="true" outlineLevel="0" collapsed="false">
      <c r="A457" s="15"/>
      <c r="B457" s="16"/>
      <c r="C457" s="16"/>
      <c r="D457" s="16"/>
      <c r="E457" s="16"/>
      <c r="F457" s="16"/>
      <c r="G457" s="16"/>
      <c r="H457" s="16"/>
      <c r="I457" s="16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customFormat="false" ht="12.75" hidden="false" customHeight="true" outlineLevel="0" collapsed="false">
      <c r="A458" s="15"/>
      <c r="B458" s="16"/>
      <c r="C458" s="16"/>
      <c r="D458" s="16"/>
      <c r="E458" s="16"/>
      <c r="F458" s="16"/>
      <c r="G458" s="16"/>
      <c r="H458" s="16"/>
      <c r="I458" s="16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customFormat="false" ht="12.75" hidden="false" customHeight="true" outlineLevel="0" collapsed="false">
      <c r="A459" s="15"/>
      <c r="B459" s="16"/>
      <c r="C459" s="16"/>
      <c r="D459" s="16"/>
      <c r="E459" s="16"/>
      <c r="F459" s="16"/>
      <c r="G459" s="16"/>
      <c r="H459" s="16"/>
      <c r="I459" s="16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customFormat="false" ht="12.75" hidden="false" customHeight="true" outlineLevel="0" collapsed="false">
      <c r="A460" s="15"/>
      <c r="B460" s="16"/>
      <c r="C460" s="16"/>
      <c r="D460" s="16"/>
      <c r="E460" s="16"/>
      <c r="F460" s="16"/>
      <c r="G460" s="16"/>
      <c r="H460" s="16"/>
      <c r="I460" s="16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customFormat="false" ht="12.75" hidden="false" customHeight="true" outlineLevel="0" collapsed="false">
      <c r="A461" s="15"/>
      <c r="B461" s="16"/>
      <c r="C461" s="16"/>
      <c r="D461" s="16"/>
      <c r="E461" s="16"/>
      <c r="F461" s="16"/>
      <c r="G461" s="16"/>
      <c r="H461" s="16"/>
      <c r="I461" s="16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customFormat="false" ht="12.75" hidden="false" customHeight="true" outlineLevel="0" collapsed="false">
      <c r="A462" s="15"/>
      <c r="B462" s="16"/>
      <c r="C462" s="16"/>
      <c r="D462" s="16"/>
      <c r="E462" s="16"/>
      <c r="F462" s="16"/>
      <c r="G462" s="16"/>
      <c r="H462" s="16"/>
      <c r="I462" s="16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customFormat="false" ht="12.75" hidden="false" customHeight="true" outlineLevel="0" collapsed="false">
      <c r="A463" s="15"/>
      <c r="B463" s="16"/>
      <c r="C463" s="16"/>
      <c r="D463" s="16"/>
      <c r="E463" s="16"/>
      <c r="F463" s="16"/>
      <c r="G463" s="16"/>
      <c r="H463" s="16"/>
      <c r="I463" s="16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customFormat="false" ht="12.75" hidden="false" customHeight="true" outlineLevel="0" collapsed="false">
      <c r="A464" s="15"/>
      <c r="B464" s="16"/>
      <c r="C464" s="16"/>
      <c r="D464" s="16"/>
      <c r="E464" s="16"/>
      <c r="F464" s="16"/>
      <c r="G464" s="16"/>
      <c r="H464" s="16"/>
      <c r="I464" s="16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customFormat="false" ht="12.75" hidden="false" customHeight="true" outlineLevel="0" collapsed="false">
      <c r="A465" s="15"/>
      <c r="B465" s="16"/>
      <c r="C465" s="16"/>
      <c r="D465" s="16"/>
      <c r="E465" s="16"/>
      <c r="F465" s="16"/>
      <c r="G465" s="16"/>
      <c r="H465" s="16"/>
      <c r="I465" s="16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customFormat="false" ht="12.75" hidden="false" customHeight="true" outlineLevel="0" collapsed="false">
      <c r="A466" s="15"/>
      <c r="B466" s="16"/>
      <c r="C466" s="16"/>
      <c r="D466" s="16"/>
      <c r="E466" s="16"/>
      <c r="F466" s="16"/>
      <c r="G466" s="16"/>
      <c r="H466" s="16"/>
      <c r="I466" s="16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customFormat="false" ht="12.75" hidden="false" customHeight="true" outlineLevel="0" collapsed="false">
      <c r="A467" s="15"/>
      <c r="B467" s="16"/>
      <c r="C467" s="16"/>
      <c r="D467" s="16"/>
      <c r="E467" s="16"/>
      <c r="F467" s="16"/>
      <c r="G467" s="16"/>
      <c r="H467" s="16"/>
      <c r="I467" s="16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customFormat="false" ht="12.75" hidden="false" customHeight="true" outlineLevel="0" collapsed="false">
      <c r="A468" s="15"/>
      <c r="B468" s="16"/>
      <c r="C468" s="16"/>
      <c r="D468" s="16"/>
      <c r="E468" s="16"/>
      <c r="F468" s="16"/>
      <c r="G468" s="16"/>
      <c r="H468" s="16"/>
      <c r="I468" s="16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customFormat="false" ht="12.75" hidden="false" customHeight="true" outlineLevel="0" collapsed="false">
      <c r="A469" s="15"/>
      <c r="B469" s="16"/>
      <c r="C469" s="16"/>
      <c r="D469" s="16"/>
      <c r="E469" s="16"/>
      <c r="F469" s="16"/>
      <c r="G469" s="16"/>
      <c r="H469" s="16"/>
      <c r="I469" s="16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customFormat="false" ht="12.75" hidden="false" customHeight="true" outlineLevel="0" collapsed="false">
      <c r="A470" s="15"/>
      <c r="B470" s="16"/>
      <c r="C470" s="16"/>
      <c r="D470" s="16"/>
      <c r="E470" s="16"/>
      <c r="F470" s="16"/>
      <c r="G470" s="16"/>
      <c r="H470" s="16"/>
      <c r="I470" s="16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customFormat="false" ht="12.75" hidden="false" customHeight="true" outlineLevel="0" collapsed="false">
      <c r="A471" s="15"/>
      <c r="B471" s="16"/>
      <c r="C471" s="16"/>
      <c r="D471" s="16"/>
      <c r="E471" s="16"/>
      <c r="F471" s="16"/>
      <c r="G471" s="16"/>
      <c r="H471" s="16"/>
      <c r="I471" s="16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customFormat="false" ht="12.75" hidden="false" customHeight="true" outlineLevel="0" collapsed="false">
      <c r="A472" s="15"/>
      <c r="B472" s="16"/>
      <c r="C472" s="16"/>
      <c r="D472" s="16"/>
      <c r="E472" s="16"/>
      <c r="F472" s="16"/>
      <c r="G472" s="16"/>
      <c r="H472" s="16"/>
      <c r="I472" s="16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customFormat="false" ht="12.75" hidden="false" customHeight="true" outlineLevel="0" collapsed="false">
      <c r="A473" s="15"/>
      <c r="B473" s="16"/>
      <c r="C473" s="16"/>
      <c r="D473" s="16"/>
      <c r="E473" s="16"/>
      <c r="F473" s="16"/>
      <c r="G473" s="16"/>
      <c r="H473" s="16"/>
      <c r="I473" s="16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customFormat="false" ht="12.75" hidden="false" customHeight="true" outlineLevel="0" collapsed="false">
      <c r="A474" s="15"/>
      <c r="B474" s="16"/>
      <c r="C474" s="16"/>
      <c r="D474" s="16"/>
      <c r="E474" s="16"/>
      <c r="F474" s="16"/>
      <c r="G474" s="16"/>
      <c r="H474" s="16"/>
      <c r="I474" s="16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customFormat="false" ht="12.75" hidden="false" customHeight="true" outlineLevel="0" collapsed="false">
      <c r="A475" s="15"/>
      <c r="B475" s="16"/>
      <c r="C475" s="16"/>
      <c r="D475" s="16"/>
      <c r="E475" s="16"/>
      <c r="F475" s="16"/>
      <c r="G475" s="16"/>
      <c r="H475" s="16"/>
      <c r="I475" s="16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customFormat="false" ht="12.75" hidden="false" customHeight="true" outlineLevel="0" collapsed="false">
      <c r="A476" s="15"/>
      <c r="B476" s="16"/>
      <c r="C476" s="16"/>
      <c r="D476" s="16"/>
      <c r="E476" s="16"/>
      <c r="F476" s="16"/>
      <c r="G476" s="16"/>
      <c r="H476" s="16"/>
      <c r="I476" s="16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customFormat="false" ht="12.75" hidden="false" customHeight="true" outlineLevel="0" collapsed="false">
      <c r="A477" s="15"/>
      <c r="B477" s="16"/>
      <c r="C477" s="16"/>
      <c r="D477" s="16"/>
      <c r="E477" s="16"/>
      <c r="F477" s="16"/>
      <c r="G477" s="16"/>
      <c r="H477" s="16"/>
      <c r="I477" s="16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customFormat="false" ht="12.75" hidden="false" customHeight="true" outlineLevel="0" collapsed="false">
      <c r="A478" s="15"/>
      <c r="B478" s="16"/>
      <c r="C478" s="16"/>
      <c r="D478" s="16"/>
      <c r="E478" s="16"/>
      <c r="F478" s="16"/>
      <c r="G478" s="16"/>
      <c r="H478" s="16"/>
      <c r="I478" s="16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customFormat="false" ht="12.75" hidden="false" customHeight="true" outlineLevel="0" collapsed="false">
      <c r="A479" s="15"/>
      <c r="B479" s="16"/>
      <c r="C479" s="16"/>
      <c r="D479" s="16"/>
      <c r="E479" s="16"/>
      <c r="F479" s="16"/>
      <c r="G479" s="16"/>
      <c r="H479" s="16"/>
      <c r="I479" s="16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customFormat="false" ht="12.75" hidden="false" customHeight="true" outlineLevel="0" collapsed="false">
      <c r="A480" s="15"/>
      <c r="B480" s="16"/>
      <c r="C480" s="16"/>
      <c r="D480" s="16"/>
      <c r="E480" s="16"/>
      <c r="F480" s="16"/>
      <c r="G480" s="16"/>
      <c r="H480" s="16"/>
      <c r="I480" s="16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customFormat="false" ht="12.75" hidden="false" customHeight="true" outlineLevel="0" collapsed="false">
      <c r="A481" s="15"/>
      <c r="B481" s="16"/>
      <c r="C481" s="16"/>
      <c r="D481" s="16"/>
      <c r="E481" s="16"/>
      <c r="F481" s="16"/>
      <c r="G481" s="16"/>
      <c r="H481" s="16"/>
      <c r="I481" s="16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customFormat="false" ht="12.75" hidden="false" customHeight="true" outlineLevel="0" collapsed="false">
      <c r="A482" s="15"/>
      <c r="B482" s="16"/>
      <c r="C482" s="16"/>
      <c r="D482" s="16"/>
      <c r="E482" s="16"/>
      <c r="F482" s="16"/>
      <c r="G482" s="16"/>
      <c r="H482" s="16"/>
      <c r="I482" s="16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customFormat="false" ht="12.75" hidden="false" customHeight="true" outlineLevel="0" collapsed="false">
      <c r="A483" s="15"/>
      <c r="B483" s="16"/>
      <c r="C483" s="16"/>
      <c r="D483" s="16"/>
      <c r="E483" s="16"/>
      <c r="F483" s="16"/>
      <c r="G483" s="16"/>
      <c r="H483" s="16"/>
      <c r="I483" s="16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customFormat="false" ht="12.75" hidden="false" customHeight="true" outlineLevel="0" collapsed="false">
      <c r="A484" s="15"/>
      <c r="B484" s="16"/>
      <c r="C484" s="16"/>
      <c r="D484" s="16"/>
      <c r="E484" s="16"/>
      <c r="F484" s="16"/>
      <c r="G484" s="16"/>
      <c r="H484" s="16"/>
      <c r="I484" s="16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customFormat="false" ht="12.75" hidden="false" customHeight="true" outlineLevel="0" collapsed="false">
      <c r="A485" s="15"/>
      <c r="B485" s="16"/>
      <c r="C485" s="16"/>
      <c r="D485" s="16"/>
      <c r="E485" s="16"/>
      <c r="F485" s="16"/>
      <c r="G485" s="16"/>
      <c r="H485" s="16"/>
      <c r="I485" s="16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customFormat="false" ht="12.75" hidden="false" customHeight="true" outlineLevel="0" collapsed="false">
      <c r="A486" s="15"/>
      <c r="B486" s="16"/>
      <c r="C486" s="16"/>
      <c r="D486" s="16"/>
      <c r="E486" s="16"/>
      <c r="F486" s="16"/>
      <c r="G486" s="16"/>
      <c r="H486" s="16"/>
      <c r="I486" s="16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customFormat="false" ht="12.75" hidden="false" customHeight="true" outlineLevel="0" collapsed="false">
      <c r="A487" s="15"/>
      <c r="B487" s="16"/>
      <c r="C487" s="16"/>
      <c r="D487" s="16"/>
      <c r="E487" s="16"/>
      <c r="F487" s="16"/>
      <c r="G487" s="16"/>
      <c r="H487" s="16"/>
      <c r="I487" s="16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customFormat="false" ht="12.75" hidden="false" customHeight="true" outlineLevel="0" collapsed="false">
      <c r="A488" s="15"/>
      <c r="B488" s="16"/>
      <c r="C488" s="16"/>
      <c r="D488" s="16"/>
      <c r="E488" s="16"/>
      <c r="F488" s="16"/>
      <c r="G488" s="16"/>
      <c r="H488" s="16"/>
      <c r="I488" s="16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customFormat="false" ht="12.75" hidden="false" customHeight="true" outlineLevel="0" collapsed="false">
      <c r="A489" s="15"/>
      <c r="B489" s="16"/>
      <c r="C489" s="16"/>
      <c r="D489" s="16"/>
      <c r="E489" s="16"/>
      <c r="F489" s="16"/>
      <c r="G489" s="16"/>
      <c r="H489" s="16"/>
      <c r="I489" s="16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customFormat="false" ht="12.75" hidden="false" customHeight="true" outlineLevel="0" collapsed="false">
      <c r="A490" s="15"/>
      <c r="B490" s="16"/>
      <c r="C490" s="16"/>
      <c r="D490" s="16"/>
      <c r="E490" s="16"/>
      <c r="F490" s="16"/>
      <c r="G490" s="16"/>
      <c r="H490" s="16"/>
      <c r="I490" s="16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customFormat="false" ht="12.75" hidden="false" customHeight="true" outlineLevel="0" collapsed="false">
      <c r="A491" s="15"/>
      <c r="B491" s="16"/>
      <c r="C491" s="16"/>
      <c r="D491" s="16"/>
      <c r="E491" s="16"/>
      <c r="F491" s="16"/>
      <c r="G491" s="16"/>
      <c r="H491" s="16"/>
      <c r="I491" s="16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customFormat="false" ht="12.75" hidden="false" customHeight="true" outlineLevel="0" collapsed="false">
      <c r="A492" s="15"/>
      <c r="B492" s="16"/>
      <c r="C492" s="16"/>
      <c r="D492" s="16"/>
      <c r="E492" s="16"/>
      <c r="F492" s="16"/>
      <c r="G492" s="16"/>
      <c r="H492" s="16"/>
      <c r="I492" s="16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customFormat="false" ht="12.75" hidden="false" customHeight="true" outlineLevel="0" collapsed="false">
      <c r="A493" s="15"/>
      <c r="B493" s="16"/>
      <c r="C493" s="16"/>
      <c r="D493" s="16"/>
      <c r="E493" s="16"/>
      <c r="F493" s="16"/>
      <c r="G493" s="16"/>
      <c r="H493" s="16"/>
      <c r="I493" s="16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customFormat="false" ht="12.75" hidden="false" customHeight="true" outlineLevel="0" collapsed="false">
      <c r="A494" s="15"/>
      <c r="B494" s="16"/>
      <c r="C494" s="16"/>
      <c r="D494" s="16"/>
      <c r="E494" s="16"/>
      <c r="F494" s="16"/>
      <c r="G494" s="16"/>
      <c r="H494" s="16"/>
      <c r="I494" s="16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customFormat="false" ht="12.75" hidden="false" customHeight="true" outlineLevel="0" collapsed="false">
      <c r="A495" s="15"/>
      <c r="B495" s="16"/>
      <c r="C495" s="16"/>
      <c r="D495" s="16"/>
      <c r="E495" s="16"/>
      <c r="F495" s="16"/>
      <c r="G495" s="16"/>
      <c r="H495" s="16"/>
      <c r="I495" s="16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customFormat="false" ht="12.75" hidden="false" customHeight="true" outlineLevel="0" collapsed="false">
      <c r="A496" s="15"/>
      <c r="B496" s="16"/>
      <c r="C496" s="16"/>
      <c r="D496" s="16"/>
      <c r="E496" s="16"/>
      <c r="F496" s="16"/>
      <c r="G496" s="16"/>
      <c r="H496" s="16"/>
      <c r="I496" s="16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customFormat="false" ht="12.75" hidden="false" customHeight="true" outlineLevel="0" collapsed="false">
      <c r="A497" s="15"/>
      <c r="B497" s="16"/>
      <c r="C497" s="16"/>
      <c r="D497" s="16"/>
      <c r="E497" s="16"/>
      <c r="F497" s="16"/>
      <c r="G497" s="16"/>
      <c r="H497" s="16"/>
      <c r="I497" s="16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customFormat="false" ht="12.75" hidden="false" customHeight="true" outlineLevel="0" collapsed="false">
      <c r="A498" s="15"/>
      <c r="B498" s="16"/>
      <c r="C498" s="16"/>
      <c r="D498" s="16"/>
      <c r="E498" s="16"/>
      <c r="F498" s="16"/>
      <c r="G498" s="16"/>
      <c r="H498" s="16"/>
      <c r="I498" s="16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customFormat="false" ht="12.75" hidden="false" customHeight="true" outlineLevel="0" collapsed="false">
      <c r="A499" s="15"/>
      <c r="B499" s="16"/>
      <c r="C499" s="16"/>
      <c r="D499" s="16"/>
      <c r="E499" s="16"/>
      <c r="F499" s="16"/>
      <c r="G499" s="16"/>
      <c r="H499" s="16"/>
      <c r="I499" s="16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customFormat="false" ht="12.75" hidden="false" customHeight="true" outlineLevel="0" collapsed="false">
      <c r="A500" s="15"/>
      <c r="B500" s="16"/>
      <c r="C500" s="16"/>
      <c r="D500" s="16"/>
      <c r="E500" s="16"/>
      <c r="F500" s="16"/>
      <c r="G500" s="16"/>
      <c r="H500" s="16"/>
      <c r="I500" s="16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customFormat="false" ht="12.75" hidden="false" customHeight="true" outlineLevel="0" collapsed="false">
      <c r="A501" s="15"/>
      <c r="B501" s="16"/>
      <c r="C501" s="16"/>
      <c r="D501" s="16"/>
      <c r="E501" s="16"/>
      <c r="F501" s="16"/>
      <c r="G501" s="16"/>
      <c r="H501" s="16"/>
      <c r="I501" s="16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customFormat="false" ht="12.75" hidden="false" customHeight="true" outlineLevel="0" collapsed="false">
      <c r="A502" s="15"/>
      <c r="B502" s="16"/>
      <c r="C502" s="16"/>
      <c r="D502" s="16"/>
      <c r="E502" s="16"/>
      <c r="F502" s="16"/>
      <c r="G502" s="16"/>
      <c r="H502" s="16"/>
      <c r="I502" s="16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customFormat="false" ht="12.75" hidden="false" customHeight="true" outlineLevel="0" collapsed="false">
      <c r="A503" s="15"/>
      <c r="B503" s="16"/>
      <c r="C503" s="16"/>
      <c r="D503" s="16"/>
      <c r="E503" s="16"/>
      <c r="F503" s="16"/>
      <c r="G503" s="16"/>
      <c r="H503" s="16"/>
      <c r="I503" s="16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customFormat="false" ht="12.75" hidden="false" customHeight="true" outlineLevel="0" collapsed="false">
      <c r="A504" s="15"/>
      <c r="B504" s="16"/>
      <c r="C504" s="16"/>
      <c r="D504" s="16"/>
      <c r="E504" s="16"/>
      <c r="F504" s="16"/>
      <c r="G504" s="16"/>
      <c r="H504" s="16"/>
      <c r="I504" s="16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customFormat="false" ht="12.75" hidden="false" customHeight="true" outlineLevel="0" collapsed="false">
      <c r="A505" s="15"/>
      <c r="B505" s="16"/>
      <c r="C505" s="16"/>
      <c r="D505" s="16"/>
      <c r="E505" s="16"/>
      <c r="F505" s="16"/>
      <c r="G505" s="16"/>
      <c r="H505" s="16"/>
      <c r="I505" s="16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customFormat="false" ht="12.75" hidden="false" customHeight="true" outlineLevel="0" collapsed="false">
      <c r="A506" s="15"/>
      <c r="B506" s="16"/>
      <c r="C506" s="16"/>
      <c r="D506" s="16"/>
      <c r="E506" s="16"/>
      <c r="F506" s="16"/>
      <c r="G506" s="16"/>
      <c r="H506" s="16"/>
      <c r="I506" s="16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customFormat="false" ht="12.75" hidden="false" customHeight="true" outlineLevel="0" collapsed="false">
      <c r="A507" s="15"/>
      <c r="B507" s="16"/>
      <c r="C507" s="16"/>
      <c r="D507" s="16"/>
      <c r="E507" s="16"/>
      <c r="F507" s="16"/>
      <c r="G507" s="16"/>
      <c r="H507" s="16"/>
      <c r="I507" s="16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customFormat="false" ht="12.75" hidden="false" customHeight="true" outlineLevel="0" collapsed="false">
      <c r="A508" s="15"/>
      <c r="B508" s="16"/>
      <c r="C508" s="16"/>
      <c r="D508" s="16"/>
      <c r="E508" s="16"/>
      <c r="F508" s="16"/>
      <c r="G508" s="16"/>
      <c r="H508" s="16"/>
      <c r="I508" s="16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customFormat="false" ht="12.75" hidden="false" customHeight="true" outlineLevel="0" collapsed="false">
      <c r="A509" s="15"/>
      <c r="B509" s="16"/>
      <c r="C509" s="16"/>
      <c r="D509" s="16"/>
      <c r="E509" s="16"/>
      <c r="F509" s="16"/>
      <c r="G509" s="16"/>
      <c r="H509" s="16"/>
      <c r="I509" s="16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customFormat="false" ht="12.75" hidden="false" customHeight="true" outlineLevel="0" collapsed="false">
      <c r="A510" s="15"/>
      <c r="B510" s="16"/>
      <c r="C510" s="16"/>
      <c r="D510" s="16"/>
      <c r="E510" s="16"/>
      <c r="F510" s="16"/>
      <c r="G510" s="16"/>
      <c r="H510" s="16"/>
      <c r="I510" s="16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customFormat="false" ht="12.75" hidden="false" customHeight="true" outlineLevel="0" collapsed="false">
      <c r="A511" s="15"/>
      <c r="B511" s="16"/>
      <c r="C511" s="16"/>
      <c r="D511" s="16"/>
      <c r="E511" s="16"/>
      <c r="F511" s="16"/>
      <c r="G511" s="16"/>
      <c r="H511" s="16"/>
      <c r="I511" s="16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customFormat="false" ht="12.75" hidden="false" customHeight="true" outlineLevel="0" collapsed="false">
      <c r="A512" s="15"/>
      <c r="B512" s="16"/>
      <c r="C512" s="16"/>
      <c r="D512" s="16"/>
      <c r="E512" s="16"/>
      <c r="F512" s="16"/>
      <c r="G512" s="16"/>
      <c r="H512" s="16"/>
      <c r="I512" s="16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customFormat="false" ht="12.75" hidden="false" customHeight="true" outlineLevel="0" collapsed="false">
      <c r="A513" s="15"/>
      <c r="B513" s="16"/>
      <c r="C513" s="16"/>
      <c r="D513" s="16"/>
      <c r="E513" s="16"/>
      <c r="F513" s="16"/>
      <c r="G513" s="16"/>
      <c r="H513" s="16"/>
      <c r="I513" s="16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customFormat="false" ht="12.75" hidden="false" customHeight="true" outlineLevel="0" collapsed="false">
      <c r="A514" s="15"/>
      <c r="B514" s="16"/>
      <c r="C514" s="16"/>
      <c r="D514" s="16"/>
      <c r="E514" s="16"/>
      <c r="F514" s="16"/>
      <c r="G514" s="16"/>
      <c r="H514" s="16"/>
      <c r="I514" s="16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customFormat="false" ht="12.75" hidden="false" customHeight="true" outlineLevel="0" collapsed="false">
      <c r="A515" s="15"/>
      <c r="B515" s="16"/>
      <c r="C515" s="16"/>
      <c r="D515" s="16"/>
      <c r="E515" s="16"/>
      <c r="F515" s="16"/>
      <c r="G515" s="16"/>
      <c r="H515" s="16"/>
      <c r="I515" s="16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customFormat="false" ht="12.75" hidden="false" customHeight="true" outlineLevel="0" collapsed="false">
      <c r="A516" s="15"/>
      <c r="B516" s="16"/>
      <c r="C516" s="16"/>
      <c r="D516" s="16"/>
      <c r="E516" s="16"/>
      <c r="F516" s="16"/>
      <c r="G516" s="16"/>
      <c r="H516" s="16"/>
      <c r="I516" s="16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customFormat="false" ht="12.75" hidden="false" customHeight="true" outlineLevel="0" collapsed="false">
      <c r="A517" s="15"/>
      <c r="B517" s="16"/>
      <c r="C517" s="16"/>
      <c r="D517" s="16"/>
      <c r="E517" s="16"/>
      <c r="F517" s="16"/>
      <c r="G517" s="16"/>
      <c r="H517" s="16"/>
      <c r="I517" s="16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customFormat="false" ht="12.75" hidden="false" customHeight="true" outlineLevel="0" collapsed="false">
      <c r="A518" s="15"/>
      <c r="B518" s="16"/>
      <c r="C518" s="16"/>
      <c r="D518" s="16"/>
      <c r="E518" s="16"/>
      <c r="F518" s="16"/>
      <c r="G518" s="16"/>
      <c r="H518" s="16"/>
      <c r="I518" s="16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customFormat="false" ht="12.75" hidden="false" customHeight="true" outlineLevel="0" collapsed="false">
      <c r="A519" s="15"/>
      <c r="B519" s="16"/>
      <c r="C519" s="16"/>
      <c r="D519" s="16"/>
      <c r="E519" s="16"/>
      <c r="F519" s="16"/>
      <c r="G519" s="16"/>
      <c r="H519" s="16"/>
      <c r="I519" s="16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customFormat="false" ht="12.75" hidden="false" customHeight="true" outlineLevel="0" collapsed="false">
      <c r="A520" s="15"/>
      <c r="B520" s="16"/>
      <c r="C520" s="16"/>
      <c r="D520" s="16"/>
      <c r="E520" s="16"/>
      <c r="F520" s="16"/>
      <c r="G520" s="16"/>
      <c r="H520" s="16"/>
      <c r="I520" s="16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customFormat="false" ht="12.75" hidden="false" customHeight="true" outlineLevel="0" collapsed="false">
      <c r="A521" s="15"/>
      <c r="B521" s="16"/>
      <c r="C521" s="16"/>
      <c r="D521" s="16"/>
      <c r="E521" s="16"/>
      <c r="F521" s="16"/>
      <c r="G521" s="16"/>
      <c r="H521" s="16"/>
      <c r="I521" s="16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customFormat="false" ht="12.75" hidden="false" customHeight="true" outlineLevel="0" collapsed="false">
      <c r="A522" s="15"/>
      <c r="B522" s="16"/>
      <c r="C522" s="16"/>
      <c r="D522" s="16"/>
      <c r="E522" s="16"/>
      <c r="F522" s="16"/>
      <c r="G522" s="16"/>
      <c r="H522" s="16"/>
      <c r="I522" s="16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customFormat="false" ht="12.75" hidden="false" customHeight="true" outlineLevel="0" collapsed="false">
      <c r="A523" s="15"/>
      <c r="B523" s="16"/>
      <c r="C523" s="16"/>
      <c r="D523" s="16"/>
      <c r="E523" s="16"/>
      <c r="F523" s="16"/>
      <c r="G523" s="16"/>
      <c r="H523" s="16"/>
      <c r="I523" s="16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customFormat="false" ht="12.75" hidden="false" customHeight="true" outlineLevel="0" collapsed="false">
      <c r="A524" s="15"/>
      <c r="B524" s="16"/>
      <c r="C524" s="16"/>
      <c r="D524" s="16"/>
      <c r="E524" s="16"/>
      <c r="F524" s="16"/>
      <c r="G524" s="16"/>
      <c r="H524" s="16"/>
      <c r="I524" s="16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customFormat="false" ht="12.75" hidden="false" customHeight="true" outlineLevel="0" collapsed="false">
      <c r="A525" s="15"/>
      <c r="B525" s="16"/>
      <c r="C525" s="16"/>
      <c r="D525" s="16"/>
      <c r="E525" s="16"/>
      <c r="F525" s="16"/>
      <c r="G525" s="16"/>
      <c r="H525" s="16"/>
      <c r="I525" s="16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customFormat="false" ht="12.75" hidden="false" customHeight="true" outlineLevel="0" collapsed="false">
      <c r="A526" s="15"/>
      <c r="B526" s="16"/>
      <c r="C526" s="16"/>
      <c r="D526" s="16"/>
      <c r="E526" s="16"/>
      <c r="F526" s="16"/>
      <c r="G526" s="16"/>
      <c r="H526" s="16"/>
      <c r="I526" s="16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customFormat="false" ht="12.75" hidden="false" customHeight="true" outlineLevel="0" collapsed="false">
      <c r="A527" s="15"/>
      <c r="B527" s="16"/>
      <c r="C527" s="16"/>
      <c r="D527" s="16"/>
      <c r="E527" s="16"/>
      <c r="F527" s="16"/>
      <c r="G527" s="16"/>
      <c r="H527" s="16"/>
      <c r="I527" s="16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customFormat="false" ht="12.75" hidden="false" customHeight="true" outlineLevel="0" collapsed="false">
      <c r="A528" s="15"/>
      <c r="B528" s="16"/>
      <c r="C528" s="16"/>
      <c r="D528" s="16"/>
      <c r="E528" s="16"/>
      <c r="F528" s="16"/>
      <c r="G528" s="16"/>
      <c r="H528" s="16"/>
      <c r="I528" s="16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customFormat="false" ht="12.75" hidden="false" customHeight="true" outlineLevel="0" collapsed="false">
      <c r="A529" s="15"/>
      <c r="B529" s="16"/>
      <c r="C529" s="16"/>
      <c r="D529" s="16"/>
      <c r="E529" s="16"/>
      <c r="F529" s="16"/>
      <c r="G529" s="16"/>
      <c r="H529" s="16"/>
      <c r="I529" s="16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customFormat="false" ht="12.75" hidden="false" customHeight="true" outlineLevel="0" collapsed="false">
      <c r="A530" s="15"/>
      <c r="B530" s="16"/>
      <c r="C530" s="16"/>
      <c r="D530" s="16"/>
      <c r="E530" s="16"/>
      <c r="F530" s="16"/>
      <c r="G530" s="16"/>
      <c r="H530" s="16"/>
      <c r="I530" s="16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customFormat="false" ht="12.75" hidden="false" customHeight="true" outlineLevel="0" collapsed="false">
      <c r="A531" s="15"/>
      <c r="B531" s="16"/>
      <c r="C531" s="16"/>
      <c r="D531" s="16"/>
      <c r="E531" s="16"/>
      <c r="F531" s="16"/>
      <c r="G531" s="16"/>
      <c r="H531" s="16"/>
      <c r="I531" s="16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customFormat="false" ht="12.75" hidden="false" customHeight="true" outlineLevel="0" collapsed="false">
      <c r="A532" s="15"/>
      <c r="B532" s="16"/>
      <c r="C532" s="16"/>
      <c r="D532" s="16"/>
      <c r="E532" s="16"/>
      <c r="F532" s="16"/>
      <c r="G532" s="16"/>
      <c r="H532" s="16"/>
      <c r="I532" s="16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customFormat="false" ht="12.75" hidden="false" customHeight="true" outlineLevel="0" collapsed="false">
      <c r="A533" s="15"/>
      <c r="B533" s="16"/>
      <c r="C533" s="16"/>
      <c r="D533" s="16"/>
      <c r="E533" s="16"/>
      <c r="F533" s="16"/>
      <c r="G533" s="16"/>
      <c r="H533" s="16"/>
      <c r="I533" s="16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customFormat="false" ht="12.75" hidden="false" customHeight="true" outlineLevel="0" collapsed="false">
      <c r="A534" s="15"/>
      <c r="B534" s="16"/>
      <c r="C534" s="16"/>
      <c r="D534" s="16"/>
      <c r="E534" s="16"/>
      <c r="F534" s="16"/>
      <c r="G534" s="16"/>
      <c r="H534" s="16"/>
      <c r="I534" s="16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customFormat="false" ht="12.75" hidden="false" customHeight="true" outlineLevel="0" collapsed="false">
      <c r="A535" s="15"/>
      <c r="B535" s="16"/>
      <c r="C535" s="16"/>
      <c r="D535" s="16"/>
      <c r="E535" s="16"/>
      <c r="F535" s="16"/>
      <c r="G535" s="16"/>
      <c r="H535" s="16"/>
      <c r="I535" s="16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customFormat="false" ht="12.75" hidden="false" customHeight="true" outlineLevel="0" collapsed="false">
      <c r="A536" s="15"/>
      <c r="B536" s="16"/>
      <c r="C536" s="16"/>
      <c r="D536" s="16"/>
      <c r="E536" s="16"/>
      <c r="F536" s="16"/>
      <c r="G536" s="16"/>
      <c r="H536" s="16"/>
      <c r="I536" s="16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customFormat="false" ht="12.75" hidden="false" customHeight="true" outlineLevel="0" collapsed="false">
      <c r="A537" s="15"/>
      <c r="B537" s="16"/>
      <c r="C537" s="16"/>
      <c r="D537" s="16"/>
      <c r="E537" s="16"/>
      <c r="F537" s="16"/>
      <c r="G537" s="16"/>
      <c r="H537" s="16"/>
      <c r="I537" s="16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customFormat="false" ht="12.75" hidden="false" customHeight="true" outlineLevel="0" collapsed="false">
      <c r="A538" s="15"/>
      <c r="B538" s="16"/>
      <c r="C538" s="16"/>
      <c r="D538" s="16"/>
      <c r="E538" s="16"/>
      <c r="F538" s="16"/>
      <c r="G538" s="16"/>
      <c r="H538" s="16"/>
      <c r="I538" s="16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customFormat="false" ht="12.75" hidden="false" customHeight="true" outlineLevel="0" collapsed="false">
      <c r="A539" s="15"/>
      <c r="B539" s="16"/>
      <c r="C539" s="16"/>
      <c r="D539" s="16"/>
      <c r="E539" s="16"/>
      <c r="F539" s="16"/>
      <c r="G539" s="16"/>
      <c r="H539" s="16"/>
      <c r="I539" s="16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customFormat="false" ht="12.75" hidden="false" customHeight="true" outlineLevel="0" collapsed="false">
      <c r="A540" s="15"/>
      <c r="B540" s="16"/>
      <c r="C540" s="16"/>
      <c r="D540" s="16"/>
      <c r="E540" s="16"/>
      <c r="F540" s="16"/>
      <c r="G540" s="16"/>
      <c r="H540" s="16"/>
      <c r="I540" s="16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customFormat="false" ht="12.75" hidden="false" customHeight="true" outlineLevel="0" collapsed="false">
      <c r="A541" s="15"/>
      <c r="B541" s="16"/>
      <c r="C541" s="16"/>
      <c r="D541" s="16"/>
      <c r="E541" s="16"/>
      <c r="F541" s="16"/>
      <c r="G541" s="16"/>
      <c r="H541" s="16"/>
      <c r="I541" s="16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customFormat="false" ht="12.75" hidden="false" customHeight="true" outlineLevel="0" collapsed="false">
      <c r="A542" s="15"/>
      <c r="B542" s="16"/>
      <c r="C542" s="16"/>
      <c r="D542" s="16"/>
      <c r="E542" s="16"/>
      <c r="F542" s="16"/>
      <c r="G542" s="16"/>
      <c r="H542" s="16"/>
      <c r="I542" s="16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customFormat="false" ht="12.75" hidden="false" customHeight="true" outlineLevel="0" collapsed="false">
      <c r="A543" s="15"/>
      <c r="B543" s="16"/>
      <c r="C543" s="16"/>
      <c r="D543" s="16"/>
      <c r="E543" s="16"/>
      <c r="F543" s="16"/>
      <c r="G543" s="16"/>
      <c r="H543" s="16"/>
      <c r="I543" s="16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customFormat="false" ht="12.75" hidden="false" customHeight="true" outlineLevel="0" collapsed="false">
      <c r="A544" s="15"/>
      <c r="B544" s="16"/>
      <c r="C544" s="16"/>
      <c r="D544" s="16"/>
      <c r="E544" s="16"/>
      <c r="F544" s="16"/>
      <c r="G544" s="16"/>
      <c r="H544" s="16"/>
      <c r="I544" s="16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customFormat="false" ht="12.75" hidden="false" customHeight="true" outlineLevel="0" collapsed="false">
      <c r="A545" s="15"/>
      <c r="B545" s="16"/>
      <c r="C545" s="16"/>
      <c r="D545" s="16"/>
      <c r="E545" s="16"/>
      <c r="F545" s="16"/>
      <c r="G545" s="16"/>
      <c r="H545" s="16"/>
      <c r="I545" s="16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customFormat="false" ht="12.75" hidden="false" customHeight="true" outlineLevel="0" collapsed="false">
      <c r="A546" s="15"/>
      <c r="B546" s="16"/>
      <c r="C546" s="16"/>
      <c r="D546" s="16"/>
      <c r="E546" s="16"/>
      <c r="F546" s="16"/>
      <c r="G546" s="16"/>
      <c r="H546" s="16"/>
      <c r="I546" s="16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customFormat="false" ht="12.75" hidden="false" customHeight="true" outlineLevel="0" collapsed="false">
      <c r="A547" s="15"/>
      <c r="B547" s="16"/>
      <c r="C547" s="16"/>
      <c r="D547" s="16"/>
      <c r="E547" s="16"/>
      <c r="F547" s="16"/>
      <c r="G547" s="16"/>
      <c r="H547" s="16"/>
      <c r="I547" s="16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customFormat="false" ht="12.75" hidden="false" customHeight="true" outlineLevel="0" collapsed="false">
      <c r="A548" s="15"/>
      <c r="B548" s="16"/>
      <c r="C548" s="16"/>
      <c r="D548" s="16"/>
      <c r="E548" s="16"/>
      <c r="F548" s="16"/>
      <c r="G548" s="16"/>
      <c r="H548" s="16"/>
      <c r="I548" s="16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customFormat="false" ht="12.75" hidden="false" customHeight="true" outlineLevel="0" collapsed="false">
      <c r="A549" s="15"/>
      <c r="B549" s="16"/>
      <c r="C549" s="16"/>
      <c r="D549" s="16"/>
      <c r="E549" s="16"/>
      <c r="F549" s="16"/>
      <c r="G549" s="16"/>
      <c r="H549" s="16"/>
      <c r="I549" s="16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customFormat="false" ht="12.75" hidden="false" customHeight="true" outlineLevel="0" collapsed="false">
      <c r="A550" s="15"/>
      <c r="B550" s="16"/>
      <c r="C550" s="16"/>
      <c r="D550" s="16"/>
      <c r="E550" s="16"/>
      <c r="F550" s="16"/>
      <c r="G550" s="16"/>
      <c r="H550" s="16"/>
      <c r="I550" s="16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customFormat="false" ht="12.75" hidden="false" customHeight="true" outlineLevel="0" collapsed="false">
      <c r="A551" s="15"/>
      <c r="B551" s="16"/>
      <c r="C551" s="16"/>
      <c r="D551" s="16"/>
      <c r="E551" s="16"/>
      <c r="F551" s="16"/>
      <c r="G551" s="16"/>
      <c r="H551" s="16"/>
      <c r="I551" s="16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customFormat="false" ht="12.75" hidden="false" customHeight="true" outlineLevel="0" collapsed="false">
      <c r="A552" s="15"/>
      <c r="B552" s="16"/>
      <c r="C552" s="16"/>
      <c r="D552" s="16"/>
      <c r="E552" s="16"/>
      <c r="F552" s="16"/>
      <c r="G552" s="16"/>
      <c r="H552" s="16"/>
      <c r="I552" s="16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customFormat="false" ht="12.75" hidden="false" customHeight="true" outlineLevel="0" collapsed="false">
      <c r="A553" s="15"/>
      <c r="B553" s="16"/>
      <c r="C553" s="16"/>
      <c r="D553" s="16"/>
      <c r="E553" s="16"/>
      <c r="F553" s="16"/>
      <c r="G553" s="16"/>
      <c r="H553" s="16"/>
      <c r="I553" s="16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customFormat="false" ht="12.75" hidden="false" customHeight="true" outlineLevel="0" collapsed="false">
      <c r="A554" s="15"/>
      <c r="B554" s="16"/>
      <c r="C554" s="16"/>
      <c r="D554" s="16"/>
      <c r="E554" s="16"/>
      <c r="F554" s="16"/>
      <c r="G554" s="16"/>
      <c r="H554" s="16"/>
      <c r="I554" s="16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customFormat="false" ht="12.75" hidden="false" customHeight="true" outlineLevel="0" collapsed="false">
      <c r="A555" s="15"/>
      <c r="B555" s="16"/>
      <c r="C555" s="16"/>
      <c r="D555" s="16"/>
      <c r="E555" s="16"/>
      <c r="F555" s="16"/>
      <c r="G555" s="16"/>
      <c r="H555" s="16"/>
      <c r="I555" s="16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customFormat="false" ht="12.75" hidden="false" customHeight="true" outlineLevel="0" collapsed="false">
      <c r="A556" s="15"/>
      <c r="B556" s="16"/>
      <c r="C556" s="16"/>
      <c r="D556" s="16"/>
      <c r="E556" s="16"/>
      <c r="F556" s="16"/>
      <c r="G556" s="16"/>
      <c r="H556" s="16"/>
      <c r="I556" s="16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customFormat="false" ht="12.75" hidden="false" customHeight="true" outlineLevel="0" collapsed="false">
      <c r="A557" s="15"/>
      <c r="B557" s="16"/>
      <c r="C557" s="16"/>
      <c r="D557" s="16"/>
      <c r="E557" s="16"/>
      <c r="F557" s="16"/>
      <c r="G557" s="16"/>
      <c r="H557" s="16"/>
      <c r="I557" s="16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customFormat="false" ht="12.75" hidden="false" customHeight="true" outlineLevel="0" collapsed="false">
      <c r="A558" s="15"/>
      <c r="B558" s="16"/>
      <c r="C558" s="16"/>
      <c r="D558" s="16"/>
      <c r="E558" s="16"/>
      <c r="F558" s="16"/>
      <c r="G558" s="16"/>
      <c r="H558" s="16"/>
      <c r="I558" s="16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customFormat="false" ht="12.75" hidden="false" customHeight="true" outlineLevel="0" collapsed="false">
      <c r="A559" s="15"/>
      <c r="B559" s="16"/>
      <c r="C559" s="16"/>
      <c r="D559" s="16"/>
      <c r="E559" s="16"/>
      <c r="F559" s="16"/>
      <c r="G559" s="16"/>
      <c r="H559" s="16"/>
      <c r="I559" s="16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customFormat="false" ht="12.75" hidden="false" customHeight="true" outlineLevel="0" collapsed="false">
      <c r="A560" s="15"/>
      <c r="B560" s="16"/>
      <c r="C560" s="16"/>
      <c r="D560" s="16"/>
      <c r="E560" s="16"/>
      <c r="F560" s="16"/>
      <c r="G560" s="16"/>
      <c r="H560" s="16"/>
      <c r="I560" s="16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customFormat="false" ht="12.75" hidden="false" customHeight="true" outlineLevel="0" collapsed="false">
      <c r="A561" s="15"/>
      <c r="B561" s="16"/>
      <c r="C561" s="16"/>
      <c r="D561" s="16"/>
      <c r="E561" s="16"/>
      <c r="F561" s="16"/>
      <c r="G561" s="16"/>
      <c r="H561" s="16"/>
      <c r="I561" s="16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customFormat="false" ht="12.75" hidden="false" customHeight="true" outlineLevel="0" collapsed="false">
      <c r="A562" s="15"/>
      <c r="B562" s="16"/>
      <c r="C562" s="16"/>
      <c r="D562" s="16"/>
      <c r="E562" s="16"/>
      <c r="F562" s="16"/>
      <c r="G562" s="16"/>
      <c r="H562" s="16"/>
      <c r="I562" s="16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customFormat="false" ht="12.75" hidden="false" customHeight="true" outlineLevel="0" collapsed="false">
      <c r="A563" s="15"/>
      <c r="B563" s="16"/>
      <c r="C563" s="16"/>
      <c r="D563" s="16"/>
      <c r="E563" s="16"/>
      <c r="F563" s="16"/>
      <c r="G563" s="16"/>
      <c r="H563" s="16"/>
      <c r="I563" s="16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customFormat="false" ht="12.75" hidden="false" customHeight="true" outlineLevel="0" collapsed="false">
      <c r="A564" s="15"/>
      <c r="B564" s="16"/>
      <c r="C564" s="16"/>
      <c r="D564" s="16"/>
      <c r="E564" s="16"/>
      <c r="F564" s="16"/>
      <c r="G564" s="16"/>
      <c r="H564" s="16"/>
      <c r="I564" s="16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customFormat="false" ht="12.75" hidden="false" customHeight="true" outlineLevel="0" collapsed="false">
      <c r="A565" s="15"/>
      <c r="B565" s="16"/>
      <c r="C565" s="16"/>
      <c r="D565" s="16"/>
      <c r="E565" s="16"/>
      <c r="F565" s="16"/>
      <c r="G565" s="16"/>
      <c r="H565" s="16"/>
      <c r="I565" s="16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customFormat="false" ht="12.75" hidden="false" customHeight="true" outlineLevel="0" collapsed="false">
      <c r="A566" s="15"/>
      <c r="B566" s="16"/>
      <c r="C566" s="16"/>
      <c r="D566" s="16"/>
      <c r="E566" s="16"/>
      <c r="F566" s="16"/>
      <c r="G566" s="16"/>
      <c r="H566" s="16"/>
      <c r="I566" s="16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customFormat="false" ht="12.75" hidden="false" customHeight="true" outlineLevel="0" collapsed="false">
      <c r="A567" s="15"/>
      <c r="B567" s="16"/>
      <c r="C567" s="16"/>
      <c r="D567" s="16"/>
      <c r="E567" s="16"/>
      <c r="F567" s="16"/>
      <c r="G567" s="16"/>
      <c r="H567" s="16"/>
      <c r="I567" s="16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customFormat="false" ht="12.75" hidden="false" customHeight="true" outlineLevel="0" collapsed="false">
      <c r="A568" s="15"/>
      <c r="B568" s="16"/>
      <c r="C568" s="16"/>
      <c r="D568" s="16"/>
      <c r="E568" s="16"/>
      <c r="F568" s="16"/>
      <c r="G568" s="16"/>
      <c r="H568" s="16"/>
      <c r="I568" s="16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customFormat="false" ht="12.75" hidden="false" customHeight="true" outlineLevel="0" collapsed="false">
      <c r="A569" s="15"/>
      <c r="B569" s="16"/>
      <c r="C569" s="16"/>
      <c r="D569" s="16"/>
      <c r="E569" s="16"/>
      <c r="F569" s="16"/>
      <c r="G569" s="16"/>
      <c r="H569" s="16"/>
      <c r="I569" s="16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customFormat="false" ht="12.75" hidden="false" customHeight="true" outlineLevel="0" collapsed="false">
      <c r="A570" s="15"/>
      <c r="B570" s="16"/>
      <c r="C570" s="16"/>
      <c r="D570" s="16"/>
      <c r="E570" s="16"/>
      <c r="F570" s="16"/>
      <c r="G570" s="16"/>
      <c r="H570" s="16"/>
      <c r="I570" s="16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customFormat="false" ht="12.75" hidden="false" customHeight="true" outlineLevel="0" collapsed="false">
      <c r="A571" s="15"/>
      <c r="B571" s="16"/>
      <c r="C571" s="16"/>
      <c r="D571" s="16"/>
      <c r="E571" s="16"/>
      <c r="F571" s="16"/>
      <c r="G571" s="16"/>
      <c r="H571" s="16"/>
      <c r="I571" s="16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customFormat="false" ht="12.75" hidden="false" customHeight="true" outlineLevel="0" collapsed="false">
      <c r="A572" s="15"/>
      <c r="B572" s="16"/>
      <c r="C572" s="16"/>
      <c r="D572" s="16"/>
      <c r="E572" s="16"/>
      <c r="F572" s="16"/>
      <c r="G572" s="16"/>
      <c r="H572" s="16"/>
      <c r="I572" s="16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customFormat="false" ht="12.75" hidden="false" customHeight="true" outlineLevel="0" collapsed="false">
      <c r="A573" s="15"/>
      <c r="B573" s="16"/>
      <c r="C573" s="16"/>
      <c r="D573" s="16"/>
      <c r="E573" s="16"/>
      <c r="F573" s="16"/>
      <c r="G573" s="16"/>
      <c r="H573" s="16"/>
      <c r="I573" s="16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customFormat="false" ht="12.75" hidden="false" customHeight="true" outlineLevel="0" collapsed="false">
      <c r="A574" s="15"/>
      <c r="B574" s="16"/>
      <c r="C574" s="16"/>
      <c r="D574" s="16"/>
      <c r="E574" s="16"/>
      <c r="F574" s="16"/>
      <c r="G574" s="16"/>
      <c r="H574" s="16"/>
      <c r="I574" s="16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customFormat="false" ht="12.75" hidden="false" customHeight="true" outlineLevel="0" collapsed="false">
      <c r="A575" s="15"/>
      <c r="B575" s="16"/>
      <c r="C575" s="16"/>
      <c r="D575" s="16"/>
      <c r="E575" s="16"/>
      <c r="F575" s="16"/>
      <c r="G575" s="16"/>
      <c r="H575" s="16"/>
      <c r="I575" s="16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customFormat="false" ht="12.75" hidden="false" customHeight="true" outlineLevel="0" collapsed="false">
      <c r="A576" s="15"/>
      <c r="B576" s="16"/>
      <c r="C576" s="16"/>
      <c r="D576" s="16"/>
      <c r="E576" s="16"/>
      <c r="F576" s="16"/>
      <c r="G576" s="16"/>
      <c r="H576" s="16"/>
      <c r="I576" s="16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customFormat="false" ht="12.75" hidden="false" customHeight="true" outlineLevel="0" collapsed="false">
      <c r="A577" s="15"/>
      <c r="B577" s="16"/>
      <c r="C577" s="16"/>
      <c r="D577" s="16"/>
      <c r="E577" s="16"/>
      <c r="F577" s="16"/>
      <c r="G577" s="16"/>
      <c r="H577" s="16"/>
      <c r="I577" s="16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customFormat="false" ht="12.75" hidden="false" customHeight="true" outlineLevel="0" collapsed="false">
      <c r="A578" s="15"/>
      <c r="B578" s="16"/>
      <c r="C578" s="16"/>
      <c r="D578" s="16"/>
      <c r="E578" s="16"/>
      <c r="F578" s="16"/>
      <c r="G578" s="16"/>
      <c r="H578" s="16"/>
      <c r="I578" s="16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customFormat="false" ht="12.75" hidden="false" customHeight="true" outlineLevel="0" collapsed="false">
      <c r="A579" s="15"/>
      <c r="B579" s="16"/>
      <c r="C579" s="16"/>
      <c r="D579" s="16"/>
      <c r="E579" s="16"/>
      <c r="F579" s="16"/>
      <c r="G579" s="16"/>
      <c r="H579" s="16"/>
      <c r="I579" s="16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customFormat="false" ht="12.75" hidden="false" customHeight="true" outlineLevel="0" collapsed="false">
      <c r="A580" s="15"/>
      <c r="B580" s="16"/>
      <c r="C580" s="16"/>
      <c r="D580" s="16"/>
      <c r="E580" s="16"/>
      <c r="F580" s="16"/>
      <c r="G580" s="16"/>
      <c r="H580" s="16"/>
      <c r="I580" s="16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customFormat="false" ht="12.75" hidden="false" customHeight="true" outlineLevel="0" collapsed="false">
      <c r="A581" s="15"/>
      <c r="B581" s="16"/>
      <c r="C581" s="16"/>
      <c r="D581" s="16"/>
      <c r="E581" s="16"/>
      <c r="F581" s="16"/>
      <c r="G581" s="16"/>
      <c r="H581" s="16"/>
      <c r="I581" s="16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customFormat="false" ht="12.75" hidden="false" customHeight="true" outlineLevel="0" collapsed="false">
      <c r="A582" s="15"/>
      <c r="B582" s="16"/>
      <c r="C582" s="16"/>
      <c r="D582" s="16"/>
      <c r="E582" s="16"/>
      <c r="F582" s="16"/>
      <c r="G582" s="16"/>
      <c r="H582" s="16"/>
      <c r="I582" s="16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customFormat="false" ht="12.75" hidden="false" customHeight="true" outlineLevel="0" collapsed="false">
      <c r="A583" s="15"/>
      <c r="B583" s="16"/>
      <c r="C583" s="16"/>
      <c r="D583" s="16"/>
      <c r="E583" s="16"/>
      <c r="F583" s="16"/>
      <c r="G583" s="16"/>
      <c r="H583" s="16"/>
      <c r="I583" s="16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customFormat="false" ht="12.75" hidden="false" customHeight="true" outlineLevel="0" collapsed="false">
      <c r="A584" s="15"/>
      <c r="B584" s="16"/>
      <c r="C584" s="16"/>
      <c r="D584" s="16"/>
      <c r="E584" s="16"/>
      <c r="F584" s="16"/>
      <c r="G584" s="16"/>
      <c r="H584" s="16"/>
      <c r="I584" s="16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customFormat="false" ht="12.75" hidden="false" customHeight="true" outlineLevel="0" collapsed="false">
      <c r="A585" s="15"/>
      <c r="B585" s="16"/>
      <c r="C585" s="16"/>
      <c r="D585" s="16"/>
      <c r="E585" s="16"/>
      <c r="F585" s="16"/>
      <c r="G585" s="16"/>
      <c r="H585" s="16"/>
      <c r="I585" s="16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customFormat="false" ht="12.75" hidden="false" customHeight="true" outlineLevel="0" collapsed="false">
      <c r="A586" s="15"/>
      <c r="B586" s="16"/>
      <c r="C586" s="16"/>
      <c r="D586" s="16"/>
      <c r="E586" s="16"/>
      <c r="F586" s="16"/>
      <c r="G586" s="16"/>
      <c r="H586" s="16"/>
      <c r="I586" s="16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customFormat="false" ht="12.75" hidden="false" customHeight="true" outlineLevel="0" collapsed="false">
      <c r="A587" s="15"/>
      <c r="B587" s="16"/>
      <c r="C587" s="16"/>
      <c r="D587" s="16"/>
      <c r="E587" s="16"/>
      <c r="F587" s="16"/>
      <c r="G587" s="16"/>
      <c r="H587" s="16"/>
      <c r="I587" s="16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customFormat="false" ht="12.75" hidden="false" customHeight="true" outlineLevel="0" collapsed="false">
      <c r="A588" s="15"/>
      <c r="B588" s="16"/>
      <c r="C588" s="16"/>
      <c r="D588" s="16"/>
      <c r="E588" s="16"/>
      <c r="F588" s="16"/>
      <c r="G588" s="16"/>
      <c r="H588" s="16"/>
      <c r="I588" s="16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customFormat="false" ht="12.75" hidden="false" customHeight="true" outlineLevel="0" collapsed="false">
      <c r="A589" s="15"/>
      <c r="B589" s="16"/>
      <c r="C589" s="16"/>
      <c r="D589" s="16"/>
      <c r="E589" s="16"/>
      <c r="F589" s="16"/>
      <c r="G589" s="16"/>
      <c r="H589" s="16"/>
      <c r="I589" s="16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customFormat="false" ht="12.75" hidden="false" customHeight="true" outlineLevel="0" collapsed="false">
      <c r="A590" s="15"/>
      <c r="B590" s="16"/>
      <c r="C590" s="16"/>
      <c r="D590" s="16"/>
      <c r="E590" s="16"/>
      <c r="F590" s="16"/>
      <c r="G590" s="16"/>
      <c r="H590" s="16"/>
      <c r="I590" s="16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customFormat="false" ht="12.75" hidden="false" customHeight="true" outlineLevel="0" collapsed="false">
      <c r="A591" s="15"/>
      <c r="B591" s="16"/>
      <c r="C591" s="16"/>
      <c r="D591" s="16"/>
      <c r="E591" s="16"/>
      <c r="F591" s="16"/>
      <c r="G591" s="16"/>
      <c r="H591" s="16"/>
      <c r="I591" s="16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customFormat="false" ht="12.75" hidden="false" customHeight="true" outlineLevel="0" collapsed="false">
      <c r="A592" s="15"/>
      <c r="B592" s="16"/>
      <c r="C592" s="16"/>
      <c r="D592" s="16"/>
      <c r="E592" s="16"/>
      <c r="F592" s="16"/>
      <c r="G592" s="16"/>
      <c r="H592" s="16"/>
      <c r="I592" s="16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customFormat="false" ht="12.75" hidden="false" customHeight="true" outlineLevel="0" collapsed="false">
      <c r="A593" s="15"/>
      <c r="B593" s="16"/>
      <c r="C593" s="16"/>
      <c r="D593" s="16"/>
      <c r="E593" s="16"/>
      <c r="F593" s="16"/>
      <c r="G593" s="16"/>
      <c r="H593" s="16"/>
      <c r="I593" s="16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customFormat="false" ht="12.75" hidden="false" customHeight="true" outlineLevel="0" collapsed="false">
      <c r="A594" s="15"/>
      <c r="B594" s="16"/>
      <c r="C594" s="16"/>
      <c r="D594" s="16"/>
      <c r="E594" s="16"/>
      <c r="F594" s="16"/>
      <c r="G594" s="16"/>
      <c r="H594" s="16"/>
      <c r="I594" s="16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customFormat="false" ht="12.75" hidden="false" customHeight="true" outlineLevel="0" collapsed="false">
      <c r="A595" s="15"/>
      <c r="B595" s="16"/>
      <c r="C595" s="16"/>
      <c r="D595" s="16"/>
      <c r="E595" s="16"/>
      <c r="F595" s="16"/>
      <c r="G595" s="16"/>
      <c r="H595" s="16"/>
      <c r="I595" s="16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customFormat="false" ht="12.75" hidden="false" customHeight="true" outlineLevel="0" collapsed="false">
      <c r="A596" s="15"/>
      <c r="B596" s="16"/>
      <c r="C596" s="16"/>
      <c r="D596" s="16"/>
      <c r="E596" s="16"/>
      <c r="F596" s="16"/>
      <c r="G596" s="16"/>
      <c r="H596" s="16"/>
      <c r="I596" s="16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customFormat="false" ht="12.75" hidden="false" customHeight="true" outlineLevel="0" collapsed="false">
      <c r="A597" s="15"/>
      <c r="B597" s="16"/>
      <c r="C597" s="16"/>
      <c r="D597" s="16"/>
      <c r="E597" s="16"/>
      <c r="F597" s="16"/>
      <c r="G597" s="16"/>
      <c r="H597" s="16"/>
      <c r="I597" s="16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customFormat="false" ht="12.75" hidden="false" customHeight="true" outlineLevel="0" collapsed="false">
      <c r="A598" s="15"/>
      <c r="B598" s="16"/>
      <c r="C598" s="16"/>
      <c r="D598" s="16"/>
      <c r="E598" s="16"/>
      <c r="F598" s="16"/>
      <c r="G598" s="16"/>
      <c r="H598" s="16"/>
      <c r="I598" s="16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customFormat="false" ht="12.75" hidden="false" customHeight="true" outlineLevel="0" collapsed="false">
      <c r="A599" s="15"/>
      <c r="B599" s="16"/>
      <c r="C599" s="16"/>
      <c r="D599" s="16"/>
      <c r="E599" s="16"/>
      <c r="F599" s="16"/>
      <c r="G599" s="16"/>
      <c r="H599" s="16"/>
      <c r="I599" s="16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customFormat="false" ht="12.75" hidden="false" customHeight="true" outlineLevel="0" collapsed="false">
      <c r="A600" s="15"/>
      <c r="B600" s="16"/>
      <c r="C600" s="16"/>
      <c r="D600" s="16"/>
      <c r="E600" s="16"/>
      <c r="F600" s="16"/>
      <c r="G600" s="16"/>
      <c r="H600" s="16"/>
      <c r="I600" s="16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customFormat="false" ht="12.75" hidden="false" customHeight="true" outlineLevel="0" collapsed="false">
      <c r="A601" s="15"/>
      <c r="B601" s="16"/>
      <c r="C601" s="16"/>
      <c r="D601" s="16"/>
      <c r="E601" s="16"/>
      <c r="F601" s="16"/>
      <c r="G601" s="16"/>
      <c r="H601" s="16"/>
      <c r="I601" s="16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customFormat="false" ht="12.75" hidden="false" customHeight="true" outlineLevel="0" collapsed="false">
      <c r="A602" s="15"/>
      <c r="B602" s="16"/>
      <c r="C602" s="16"/>
      <c r="D602" s="16"/>
      <c r="E602" s="16"/>
      <c r="F602" s="16"/>
      <c r="G602" s="16"/>
      <c r="H602" s="16"/>
      <c r="I602" s="16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customFormat="false" ht="12.75" hidden="false" customHeight="true" outlineLevel="0" collapsed="false">
      <c r="A603" s="15"/>
      <c r="B603" s="16"/>
      <c r="C603" s="16"/>
      <c r="D603" s="16"/>
      <c r="E603" s="16"/>
      <c r="F603" s="16"/>
      <c r="G603" s="16"/>
      <c r="H603" s="16"/>
      <c r="I603" s="16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customFormat="false" ht="12.75" hidden="false" customHeight="true" outlineLevel="0" collapsed="false">
      <c r="A604" s="15"/>
      <c r="B604" s="16"/>
      <c r="C604" s="16"/>
      <c r="D604" s="16"/>
      <c r="E604" s="16"/>
      <c r="F604" s="16"/>
      <c r="G604" s="16"/>
      <c r="H604" s="16"/>
      <c r="I604" s="16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customFormat="false" ht="12.75" hidden="false" customHeight="true" outlineLevel="0" collapsed="false">
      <c r="A605" s="15"/>
      <c r="B605" s="16"/>
      <c r="C605" s="16"/>
      <c r="D605" s="16"/>
      <c r="E605" s="16"/>
      <c r="F605" s="16"/>
      <c r="G605" s="16"/>
      <c r="H605" s="16"/>
      <c r="I605" s="16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customFormat="false" ht="12.75" hidden="false" customHeight="true" outlineLevel="0" collapsed="false">
      <c r="A606" s="15"/>
      <c r="B606" s="16"/>
      <c r="C606" s="16"/>
      <c r="D606" s="16"/>
      <c r="E606" s="16"/>
      <c r="F606" s="16"/>
      <c r="G606" s="16"/>
      <c r="H606" s="16"/>
      <c r="I606" s="16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customFormat="false" ht="12.75" hidden="false" customHeight="true" outlineLevel="0" collapsed="false">
      <c r="A607" s="15"/>
      <c r="B607" s="16"/>
      <c r="C607" s="16"/>
      <c r="D607" s="16"/>
      <c r="E607" s="16"/>
      <c r="F607" s="16"/>
      <c r="G607" s="16"/>
      <c r="H607" s="16"/>
      <c r="I607" s="16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customFormat="false" ht="12.75" hidden="false" customHeight="true" outlineLevel="0" collapsed="false">
      <c r="A608" s="15"/>
      <c r="B608" s="16"/>
      <c r="C608" s="16"/>
      <c r="D608" s="16"/>
      <c r="E608" s="16"/>
      <c r="F608" s="16"/>
      <c r="G608" s="16"/>
      <c r="H608" s="16"/>
      <c r="I608" s="16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customFormat="false" ht="12.75" hidden="false" customHeight="true" outlineLevel="0" collapsed="false">
      <c r="A609" s="15"/>
      <c r="B609" s="16"/>
      <c r="C609" s="16"/>
      <c r="D609" s="16"/>
      <c r="E609" s="16"/>
      <c r="F609" s="16"/>
      <c r="G609" s="16"/>
      <c r="H609" s="16"/>
      <c r="I609" s="16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customFormat="false" ht="12.75" hidden="false" customHeight="true" outlineLevel="0" collapsed="false">
      <c r="A610" s="15"/>
      <c r="B610" s="16"/>
      <c r="C610" s="16"/>
      <c r="D610" s="16"/>
      <c r="E610" s="16"/>
      <c r="F610" s="16"/>
      <c r="G610" s="16"/>
      <c r="H610" s="16"/>
      <c r="I610" s="16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customFormat="false" ht="12.75" hidden="false" customHeight="true" outlineLevel="0" collapsed="false">
      <c r="A611" s="15"/>
      <c r="B611" s="16"/>
      <c r="C611" s="16"/>
      <c r="D611" s="16"/>
      <c r="E611" s="16"/>
      <c r="F611" s="16"/>
      <c r="G611" s="16"/>
      <c r="H611" s="16"/>
      <c r="I611" s="16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customFormat="false" ht="12.75" hidden="false" customHeight="true" outlineLevel="0" collapsed="false">
      <c r="A612" s="15"/>
      <c r="B612" s="16"/>
      <c r="C612" s="16"/>
      <c r="D612" s="16"/>
      <c r="E612" s="16"/>
      <c r="F612" s="16"/>
      <c r="G612" s="16"/>
      <c r="H612" s="16"/>
      <c r="I612" s="16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customFormat="false" ht="12.75" hidden="false" customHeight="true" outlineLevel="0" collapsed="false">
      <c r="A613" s="15"/>
      <c r="B613" s="16"/>
      <c r="C613" s="16"/>
      <c r="D613" s="16"/>
      <c r="E613" s="16"/>
      <c r="F613" s="16"/>
      <c r="G613" s="16"/>
      <c r="H613" s="16"/>
      <c r="I613" s="16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customFormat="false" ht="12.75" hidden="false" customHeight="true" outlineLevel="0" collapsed="false">
      <c r="A614" s="15"/>
      <c r="B614" s="16"/>
      <c r="C614" s="16"/>
      <c r="D614" s="16"/>
      <c r="E614" s="16"/>
      <c r="F614" s="16"/>
      <c r="G614" s="16"/>
      <c r="H614" s="16"/>
      <c r="I614" s="16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customFormat="false" ht="12.75" hidden="false" customHeight="true" outlineLevel="0" collapsed="false">
      <c r="A615" s="15"/>
      <c r="B615" s="16"/>
      <c r="C615" s="16"/>
      <c r="D615" s="16"/>
      <c r="E615" s="16"/>
      <c r="F615" s="16"/>
      <c r="G615" s="16"/>
      <c r="H615" s="16"/>
      <c r="I615" s="16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customFormat="false" ht="12.75" hidden="false" customHeight="true" outlineLevel="0" collapsed="false">
      <c r="A616" s="15"/>
      <c r="B616" s="16"/>
      <c r="C616" s="16"/>
      <c r="D616" s="16"/>
      <c r="E616" s="16"/>
      <c r="F616" s="16"/>
      <c r="G616" s="16"/>
      <c r="H616" s="16"/>
      <c r="I616" s="16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customFormat="false" ht="12.75" hidden="false" customHeight="true" outlineLevel="0" collapsed="false">
      <c r="A617" s="15"/>
      <c r="B617" s="16"/>
      <c r="C617" s="16"/>
      <c r="D617" s="16"/>
      <c r="E617" s="16"/>
      <c r="F617" s="16"/>
      <c r="G617" s="16"/>
      <c r="H617" s="16"/>
      <c r="I617" s="16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customFormat="false" ht="12.75" hidden="false" customHeight="true" outlineLevel="0" collapsed="false">
      <c r="A618" s="15"/>
      <c r="B618" s="16"/>
      <c r="C618" s="16"/>
      <c r="D618" s="16"/>
      <c r="E618" s="16"/>
      <c r="F618" s="16"/>
      <c r="G618" s="16"/>
      <c r="H618" s="16"/>
      <c r="I618" s="16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customFormat="false" ht="12.75" hidden="false" customHeight="true" outlineLevel="0" collapsed="false">
      <c r="A619" s="15"/>
      <c r="B619" s="16"/>
      <c r="C619" s="16"/>
      <c r="D619" s="16"/>
      <c r="E619" s="16"/>
      <c r="F619" s="16"/>
      <c r="G619" s="16"/>
      <c r="H619" s="16"/>
      <c r="I619" s="16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customFormat="false" ht="12.75" hidden="false" customHeight="true" outlineLevel="0" collapsed="false">
      <c r="A620" s="15"/>
      <c r="B620" s="16"/>
      <c r="C620" s="16"/>
      <c r="D620" s="16"/>
      <c r="E620" s="16"/>
      <c r="F620" s="16"/>
      <c r="G620" s="16"/>
      <c r="H620" s="16"/>
      <c r="I620" s="16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customFormat="false" ht="12.75" hidden="false" customHeight="true" outlineLevel="0" collapsed="false">
      <c r="A621" s="15"/>
      <c r="B621" s="16"/>
      <c r="C621" s="16"/>
      <c r="D621" s="16"/>
      <c r="E621" s="16"/>
      <c r="F621" s="16"/>
      <c r="G621" s="16"/>
      <c r="H621" s="16"/>
      <c r="I621" s="16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customFormat="false" ht="12.75" hidden="false" customHeight="true" outlineLevel="0" collapsed="false">
      <c r="A622" s="15"/>
      <c r="B622" s="16"/>
      <c r="C622" s="16"/>
      <c r="D622" s="16"/>
      <c r="E622" s="16"/>
      <c r="F622" s="16"/>
      <c r="G622" s="16"/>
      <c r="H622" s="16"/>
      <c r="I622" s="16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customFormat="false" ht="12.75" hidden="false" customHeight="true" outlineLevel="0" collapsed="false">
      <c r="A623" s="15"/>
      <c r="B623" s="16"/>
      <c r="C623" s="16"/>
      <c r="D623" s="16"/>
      <c r="E623" s="16"/>
      <c r="F623" s="16"/>
      <c r="G623" s="16"/>
      <c r="H623" s="16"/>
      <c r="I623" s="16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customFormat="false" ht="12.75" hidden="false" customHeight="true" outlineLevel="0" collapsed="false">
      <c r="A624" s="15"/>
      <c r="B624" s="16"/>
      <c r="C624" s="16"/>
      <c r="D624" s="16"/>
      <c r="E624" s="16"/>
      <c r="F624" s="16"/>
      <c r="G624" s="16"/>
      <c r="H624" s="16"/>
      <c r="I624" s="16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customFormat="false" ht="12.75" hidden="false" customHeight="true" outlineLevel="0" collapsed="false">
      <c r="A625" s="15"/>
      <c r="B625" s="16"/>
      <c r="C625" s="16"/>
      <c r="D625" s="16"/>
      <c r="E625" s="16"/>
      <c r="F625" s="16"/>
      <c r="G625" s="16"/>
      <c r="H625" s="16"/>
      <c r="I625" s="16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customFormat="false" ht="12.75" hidden="false" customHeight="true" outlineLevel="0" collapsed="false">
      <c r="A626" s="15"/>
      <c r="B626" s="16"/>
      <c r="C626" s="16"/>
      <c r="D626" s="16"/>
      <c r="E626" s="16"/>
      <c r="F626" s="16"/>
      <c r="G626" s="16"/>
      <c r="H626" s="16"/>
      <c r="I626" s="16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customFormat="false" ht="12.75" hidden="false" customHeight="true" outlineLevel="0" collapsed="false">
      <c r="A627" s="15"/>
      <c r="B627" s="16"/>
      <c r="C627" s="16"/>
      <c r="D627" s="16"/>
      <c r="E627" s="16"/>
      <c r="F627" s="16"/>
      <c r="G627" s="16"/>
      <c r="H627" s="16"/>
      <c r="I627" s="16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customFormat="false" ht="12.75" hidden="false" customHeight="true" outlineLevel="0" collapsed="false">
      <c r="A628" s="15"/>
      <c r="B628" s="16"/>
      <c r="C628" s="16"/>
      <c r="D628" s="16"/>
      <c r="E628" s="16"/>
      <c r="F628" s="16"/>
      <c r="G628" s="16"/>
      <c r="H628" s="16"/>
      <c r="I628" s="16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customFormat="false" ht="12.75" hidden="false" customHeight="true" outlineLevel="0" collapsed="false">
      <c r="A629" s="15"/>
      <c r="B629" s="16"/>
      <c r="C629" s="16"/>
      <c r="D629" s="16"/>
      <c r="E629" s="16"/>
      <c r="F629" s="16"/>
      <c r="G629" s="16"/>
      <c r="H629" s="16"/>
      <c r="I629" s="16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customFormat="false" ht="12.75" hidden="false" customHeight="true" outlineLevel="0" collapsed="false">
      <c r="A630" s="15"/>
      <c r="B630" s="16"/>
      <c r="C630" s="16"/>
      <c r="D630" s="16"/>
      <c r="E630" s="16"/>
      <c r="F630" s="16"/>
      <c r="G630" s="16"/>
      <c r="H630" s="16"/>
      <c r="I630" s="16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customFormat="false" ht="12.75" hidden="false" customHeight="true" outlineLevel="0" collapsed="false">
      <c r="A631" s="15"/>
      <c r="B631" s="16"/>
      <c r="C631" s="16"/>
      <c r="D631" s="16"/>
      <c r="E631" s="16"/>
      <c r="F631" s="16"/>
      <c r="G631" s="16"/>
      <c r="H631" s="16"/>
      <c r="I631" s="16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customFormat="false" ht="12.75" hidden="false" customHeight="true" outlineLevel="0" collapsed="false">
      <c r="A632" s="15"/>
      <c r="B632" s="16"/>
      <c r="C632" s="16"/>
      <c r="D632" s="16"/>
      <c r="E632" s="16"/>
      <c r="F632" s="16"/>
      <c r="G632" s="16"/>
      <c r="H632" s="16"/>
      <c r="I632" s="16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customFormat="false" ht="12.75" hidden="false" customHeight="true" outlineLevel="0" collapsed="false">
      <c r="A633" s="15"/>
      <c r="B633" s="16"/>
      <c r="C633" s="16"/>
      <c r="D633" s="16"/>
      <c r="E633" s="16"/>
      <c r="F633" s="16"/>
      <c r="G633" s="16"/>
      <c r="H633" s="16"/>
      <c r="I633" s="16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customFormat="false" ht="12.75" hidden="false" customHeight="true" outlineLevel="0" collapsed="false">
      <c r="A634" s="15"/>
      <c r="B634" s="16"/>
      <c r="C634" s="16"/>
      <c r="D634" s="16"/>
      <c r="E634" s="16"/>
      <c r="F634" s="16"/>
      <c r="G634" s="16"/>
      <c r="H634" s="16"/>
      <c r="I634" s="16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customFormat="false" ht="12.75" hidden="false" customHeight="true" outlineLevel="0" collapsed="false">
      <c r="A635" s="15"/>
      <c r="B635" s="16"/>
      <c r="C635" s="16"/>
      <c r="D635" s="16"/>
      <c r="E635" s="16"/>
      <c r="F635" s="16"/>
      <c r="G635" s="16"/>
      <c r="H635" s="16"/>
      <c r="I635" s="16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customFormat="false" ht="12.75" hidden="false" customHeight="true" outlineLevel="0" collapsed="false">
      <c r="A636" s="15"/>
      <c r="B636" s="16"/>
      <c r="C636" s="16"/>
      <c r="D636" s="16"/>
      <c r="E636" s="16"/>
      <c r="F636" s="16"/>
      <c r="G636" s="16"/>
      <c r="H636" s="16"/>
      <c r="I636" s="16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customFormat="false" ht="12.75" hidden="false" customHeight="true" outlineLevel="0" collapsed="false">
      <c r="A637" s="15"/>
      <c r="B637" s="16"/>
      <c r="C637" s="16"/>
      <c r="D637" s="16"/>
      <c r="E637" s="16"/>
      <c r="F637" s="16"/>
      <c r="G637" s="16"/>
      <c r="H637" s="16"/>
      <c r="I637" s="16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customFormat="false" ht="12.75" hidden="false" customHeight="true" outlineLevel="0" collapsed="false">
      <c r="A638" s="15"/>
      <c r="B638" s="16"/>
      <c r="C638" s="16"/>
      <c r="D638" s="16"/>
      <c r="E638" s="16"/>
      <c r="F638" s="16"/>
      <c r="G638" s="16"/>
      <c r="H638" s="16"/>
      <c r="I638" s="16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customFormat="false" ht="12.75" hidden="false" customHeight="true" outlineLevel="0" collapsed="false">
      <c r="A639" s="15"/>
      <c r="B639" s="16"/>
      <c r="C639" s="16"/>
      <c r="D639" s="16"/>
      <c r="E639" s="16"/>
      <c r="F639" s="16"/>
      <c r="G639" s="16"/>
      <c r="H639" s="16"/>
      <c r="I639" s="16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customFormat="false" ht="12.75" hidden="false" customHeight="true" outlineLevel="0" collapsed="false">
      <c r="A640" s="15"/>
      <c r="B640" s="16"/>
      <c r="C640" s="16"/>
      <c r="D640" s="16"/>
      <c r="E640" s="16"/>
      <c r="F640" s="16"/>
      <c r="G640" s="16"/>
      <c r="H640" s="16"/>
      <c r="I640" s="16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customFormat="false" ht="12.75" hidden="false" customHeight="true" outlineLevel="0" collapsed="false">
      <c r="A641" s="15"/>
      <c r="B641" s="16"/>
      <c r="C641" s="16"/>
      <c r="D641" s="16"/>
      <c r="E641" s="16"/>
      <c r="F641" s="16"/>
      <c r="G641" s="16"/>
      <c r="H641" s="16"/>
      <c r="I641" s="16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customFormat="false" ht="12.75" hidden="false" customHeight="true" outlineLevel="0" collapsed="false">
      <c r="A642" s="15"/>
      <c r="B642" s="16"/>
      <c r="C642" s="16"/>
      <c r="D642" s="16"/>
      <c r="E642" s="16"/>
      <c r="F642" s="16"/>
      <c r="G642" s="16"/>
      <c r="H642" s="16"/>
      <c r="I642" s="16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customFormat="false" ht="12.75" hidden="false" customHeight="true" outlineLevel="0" collapsed="false">
      <c r="A643" s="15"/>
      <c r="B643" s="16"/>
      <c r="C643" s="16"/>
      <c r="D643" s="16"/>
      <c r="E643" s="16"/>
      <c r="F643" s="16"/>
      <c r="G643" s="16"/>
      <c r="H643" s="16"/>
      <c r="I643" s="16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customFormat="false" ht="12.75" hidden="false" customHeight="true" outlineLevel="0" collapsed="false">
      <c r="A644" s="15"/>
      <c r="B644" s="16"/>
      <c r="C644" s="16"/>
      <c r="D644" s="16"/>
      <c r="E644" s="16"/>
      <c r="F644" s="16"/>
      <c r="G644" s="16"/>
      <c r="H644" s="16"/>
      <c r="I644" s="16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customFormat="false" ht="12.75" hidden="false" customHeight="true" outlineLevel="0" collapsed="false">
      <c r="A645" s="15"/>
      <c r="B645" s="16"/>
      <c r="C645" s="16"/>
      <c r="D645" s="16"/>
      <c r="E645" s="16"/>
      <c r="F645" s="16"/>
      <c r="G645" s="16"/>
      <c r="H645" s="16"/>
      <c r="I645" s="16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customFormat="false" ht="12.75" hidden="false" customHeight="true" outlineLevel="0" collapsed="false">
      <c r="A646" s="15"/>
      <c r="B646" s="16"/>
      <c r="C646" s="16"/>
      <c r="D646" s="16"/>
      <c r="E646" s="16"/>
      <c r="F646" s="16"/>
      <c r="G646" s="16"/>
      <c r="H646" s="16"/>
      <c r="I646" s="16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customFormat="false" ht="12.75" hidden="false" customHeight="true" outlineLevel="0" collapsed="false">
      <c r="A647" s="15"/>
      <c r="B647" s="16"/>
      <c r="C647" s="16"/>
      <c r="D647" s="16"/>
      <c r="E647" s="16"/>
      <c r="F647" s="16"/>
      <c r="G647" s="16"/>
      <c r="H647" s="16"/>
      <c r="I647" s="16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customFormat="false" ht="12.75" hidden="false" customHeight="true" outlineLevel="0" collapsed="false">
      <c r="A648" s="15"/>
      <c r="B648" s="16"/>
      <c r="C648" s="16"/>
      <c r="D648" s="16"/>
      <c r="E648" s="16"/>
      <c r="F648" s="16"/>
      <c r="G648" s="16"/>
      <c r="H648" s="16"/>
      <c r="I648" s="16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customFormat="false" ht="12.75" hidden="false" customHeight="true" outlineLevel="0" collapsed="false">
      <c r="A649" s="15"/>
      <c r="B649" s="16"/>
      <c r="C649" s="16"/>
      <c r="D649" s="16"/>
      <c r="E649" s="16"/>
      <c r="F649" s="16"/>
      <c r="G649" s="16"/>
      <c r="H649" s="16"/>
      <c r="I649" s="16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customFormat="false" ht="12.75" hidden="false" customHeight="true" outlineLevel="0" collapsed="false">
      <c r="A650" s="15"/>
      <c r="B650" s="16"/>
      <c r="C650" s="16"/>
      <c r="D650" s="16"/>
      <c r="E650" s="16"/>
      <c r="F650" s="16"/>
      <c r="G650" s="16"/>
      <c r="H650" s="16"/>
      <c r="I650" s="16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customFormat="false" ht="12.75" hidden="false" customHeight="true" outlineLevel="0" collapsed="false">
      <c r="A651" s="15"/>
      <c r="B651" s="16"/>
      <c r="C651" s="16"/>
      <c r="D651" s="16"/>
      <c r="E651" s="16"/>
      <c r="F651" s="16"/>
      <c r="G651" s="16"/>
      <c r="H651" s="16"/>
      <c r="I651" s="16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customFormat="false" ht="12.75" hidden="false" customHeight="true" outlineLevel="0" collapsed="false">
      <c r="A652" s="15"/>
      <c r="B652" s="16"/>
      <c r="C652" s="16"/>
      <c r="D652" s="16"/>
      <c r="E652" s="16"/>
      <c r="F652" s="16"/>
      <c r="G652" s="16"/>
      <c r="H652" s="16"/>
      <c r="I652" s="16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customFormat="false" ht="12.75" hidden="false" customHeight="true" outlineLevel="0" collapsed="false">
      <c r="A653" s="15"/>
      <c r="B653" s="16"/>
      <c r="C653" s="16"/>
      <c r="D653" s="16"/>
      <c r="E653" s="16"/>
      <c r="F653" s="16"/>
      <c r="G653" s="16"/>
      <c r="H653" s="16"/>
      <c r="I653" s="16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customFormat="false" ht="12.75" hidden="false" customHeight="true" outlineLevel="0" collapsed="false">
      <c r="A654" s="15"/>
      <c r="B654" s="16"/>
      <c r="C654" s="16"/>
      <c r="D654" s="16"/>
      <c r="E654" s="16"/>
      <c r="F654" s="16"/>
      <c r="G654" s="16"/>
      <c r="H654" s="16"/>
      <c r="I654" s="16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customFormat="false" ht="12.75" hidden="false" customHeight="true" outlineLevel="0" collapsed="false">
      <c r="A655" s="15"/>
      <c r="B655" s="16"/>
      <c r="C655" s="16"/>
      <c r="D655" s="16"/>
      <c r="E655" s="16"/>
      <c r="F655" s="16"/>
      <c r="G655" s="16"/>
      <c r="H655" s="16"/>
      <c r="I655" s="16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customFormat="false" ht="12.75" hidden="false" customHeight="true" outlineLevel="0" collapsed="false">
      <c r="A656" s="15"/>
      <c r="B656" s="16"/>
      <c r="C656" s="16"/>
      <c r="D656" s="16"/>
      <c r="E656" s="16"/>
      <c r="F656" s="16"/>
      <c r="G656" s="16"/>
      <c r="H656" s="16"/>
      <c r="I656" s="16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customFormat="false" ht="12.75" hidden="false" customHeight="true" outlineLevel="0" collapsed="false">
      <c r="A657" s="15"/>
      <c r="B657" s="16"/>
      <c r="C657" s="16"/>
      <c r="D657" s="16"/>
      <c r="E657" s="16"/>
      <c r="F657" s="16"/>
      <c r="G657" s="16"/>
      <c r="H657" s="16"/>
      <c r="I657" s="16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customFormat="false" ht="12.75" hidden="false" customHeight="true" outlineLevel="0" collapsed="false">
      <c r="A658" s="15"/>
      <c r="B658" s="16"/>
      <c r="C658" s="16"/>
      <c r="D658" s="16"/>
      <c r="E658" s="16"/>
      <c r="F658" s="16"/>
      <c r="G658" s="16"/>
      <c r="H658" s="16"/>
      <c r="I658" s="16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customFormat="false" ht="12.75" hidden="false" customHeight="true" outlineLevel="0" collapsed="false">
      <c r="A659" s="15"/>
      <c r="B659" s="16"/>
      <c r="C659" s="16"/>
      <c r="D659" s="16"/>
      <c r="E659" s="16"/>
      <c r="F659" s="16"/>
      <c r="G659" s="16"/>
      <c r="H659" s="16"/>
      <c r="I659" s="16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customFormat="false" ht="12.75" hidden="false" customHeight="true" outlineLevel="0" collapsed="false">
      <c r="A660" s="15"/>
      <c r="B660" s="16"/>
      <c r="C660" s="16"/>
      <c r="D660" s="16"/>
      <c r="E660" s="16"/>
      <c r="F660" s="16"/>
      <c r="G660" s="16"/>
      <c r="H660" s="16"/>
      <c r="I660" s="16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customFormat="false" ht="12.75" hidden="false" customHeight="true" outlineLevel="0" collapsed="false">
      <c r="A661" s="15"/>
      <c r="B661" s="16"/>
      <c r="C661" s="16"/>
      <c r="D661" s="16"/>
      <c r="E661" s="16"/>
      <c r="F661" s="16"/>
      <c r="G661" s="16"/>
      <c r="H661" s="16"/>
      <c r="I661" s="16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customFormat="false" ht="12.75" hidden="false" customHeight="true" outlineLevel="0" collapsed="false">
      <c r="A662" s="15"/>
      <c r="B662" s="16"/>
      <c r="C662" s="16"/>
      <c r="D662" s="16"/>
      <c r="E662" s="16"/>
      <c r="F662" s="16"/>
      <c r="G662" s="16"/>
      <c r="H662" s="16"/>
      <c r="I662" s="16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customFormat="false" ht="12.75" hidden="false" customHeight="true" outlineLevel="0" collapsed="false">
      <c r="A663" s="15"/>
      <c r="B663" s="16"/>
      <c r="C663" s="16"/>
      <c r="D663" s="16"/>
      <c r="E663" s="16"/>
      <c r="F663" s="16"/>
      <c r="G663" s="16"/>
      <c r="H663" s="16"/>
      <c r="I663" s="16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customFormat="false" ht="12.75" hidden="false" customHeight="true" outlineLevel="0" collapsed="false">
      <c r="A664" s="15"/>
      <c r="B664" s="16"/>
      <c r="C664" s="16"/>
      <c r="D664" s="16"/>
      <c r="E664" s="16"/>
      <c r="F664" s="16"/>
      <c r="G664" s="16"/>
      <c r="H664" s="16"/>
      <c r="I664" s="16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customFormat="false" ht="12.75" hidden="false" customHeight="true" outlineLevel="0" collapsed="false">
      <c r="A665" s="15"/>
      <c r="B665" s="16"/>
      <c r="C665" s="16"/>
      <c r="D665" s="16"/>
      <c r="E665" s="16"/>
      <c r="F665" s="16"/>
      <c r="G665" s="16"/>
      <c r="H665" s="16"/>
      <c r="I665" s="16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customFormat="false" ht="12.75" hidden="false" customHeight="true" outlineLevel="0" collapsed="false">
      <c r="A666" s="15"/>
      <c r="B666" s="16"/>
      <c r="C666" s="16"/>
      <c r="D666" s="16"/>
      <c r="E666" s="16"/>
      <c r="F666" s="16"/>
      <c r="G666" s="16"/>
      <c r="H666" s="16"/>
      <c r="I666" s="16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customFormat="false" ht="12.75" hidden="false" customHeight="true" outlineLevel="0" collapsed="false">
      <c r="A667" s="15"/>
      <c r="B667" s="16"/>
      <c r="C667" s="16"/>
      <c r="D667" s="16"/>
      <c r="E667" s="16"/>
      <c r="F667" s="16"/>
      <c r="G667" s="16"/>
      <c r="H667" s="16"/>
      <c r="I667" s="16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customFormat="false" ht="12.75" hidden="false" customHeight="true" outlineLevel="0" collapsed="false">
      <c r="A668" s="15"/>
      <c r="B668" s="16"/>
      <c r="C668" s="16"/>
      <c r="D668" s="16"/>
      <c r="E668" s="16"/>
      <c r="F668" s="16"/>
      <c r="G668" s="16"/>
      <c r="H668" s="16"/>
      <c r="I668" s="16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customFormat="false" ht="12.75" hidden="false" customHeight="true" outlineLevel="0" collapsed="false">
      <c r="A669" s="15"/>
      <c r="B669" s="16"/>
      <c r="C669" s="16"/>
      <c r="D669" s="16"/>
      <c r="E669" s="16"/>
      <c r="F669" s="16"/>
      <c r="G669" s="16"/>
      <c r="H669" s="16"/>
      <c r="I669" s="16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customFormat="false" ht="12.75" hidden="false" customHeight="true" outlineLevel="0" collapsed="false">
      <c r="A670" s="15"/>
      <c r="B670" s="16"/>
      <c r="C670" s="16"/>
      <c r="D670" s="16"/>
      <c r="E670" s="16"/>
      <c r="F670" s="16"/>
      <c r="G670" s="16"/>
      <c r="H670" s="16"/>
      <c r="I670" s="16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customFormat="false" ht="12.75" hidden="false" customHeight="true" outlineLevel="0" collapsed="false">
      <c r="A671" s="15"/>
      <c r="B671" s="16"/>
      <c r="C671" s="16"/>
      <c r="D671" s="16"/>
      <c r="E671" s="16"/>
      <c r="F671" s="16"/>
      <c r="G671" s="16"/>
      <c r="H671" s="16"/>
      <c r="I671" s="16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customFormat="false" ht="12.75" hidden="false" customHeight="true" outlineLevel="0" collapsed="false">
      <c r="A672" s="15"/>
      <c r="B672" s="16"/>
      <c r="C672" s="16"/>
      <c r="D672" s="16"/>
      <c r="E672" s="16"/>
      <c r="F672" s="16"/>
      <c r="G672" s="16"/>
      <c r="H672" s="16"/>
      <c r="I672" s="16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customFormat="false" ht="12.75" hidden="false" customHeight="true" outlineLevel="0" collapsed="false">
      <c r="A673" s="15"/>
      <c r="B673" s="16"/>
      <c r="C673" s="16"/>
      <c r="D673" s="16"/>
      <c r="E673" s="16"/>
      <c r="F673" s="16"/>
      <c r="G673" s="16"/>
      <c r="H673" s="16"/>
      <c r="I673" s="16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customFormat="false" ht="12.75" hidden="false" customHeight="true" outlineLevel="0" collapsed="false">
      <c r="A674" s="15"/>
      <c r="B674" s="16"/>
      <c r="C674" s="16"/>
      <c r="D674" s="16"/>
      <c r="E674" s="16"/>
      <c r="F674" s="16"/>
      <c r="G674" s="16"/>
      <c r="H674" s="16"/>
      <c r="I674" s="16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customFormat="false" ht="12.75" hidden="false" customHeight="true" outlineLevel="0" collapsed="false">
      <c r="A675" s="15"/>
      <c r="B675" s="16"/>
      <c r="C675" s="16"/>
      <c r="D675" s="16"/>
      <c r="E675" s="16"/>
      <c r="F675" s="16"/>
      <c r="G675" s="16"/>
      <c r="H675" s="16"/>
      <c r="I675" s="16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customFormat="false" ht="12.75" hidden="false" customHeight="true" outlineLevel="0" collapsed="false">
      <c r="A676" s="15"/>
      <c r="B676" s="16"/>
      <c r="C676" s="16"/>
      <c r="D676" s="16"/>
      <c r="E676" s="16"/>
      <c r="F676" s="16"/>
      <c r="G676" s="16"/>
      <c r="H676" s="16"/>
      <c r="I676" s="16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customFormat="false" ht="12.75" hidden="false" customHeight="true" outlineLevel="0" collapsed="false">
      <c r="A677" s="15"/>
      <c r="B677" s="16"/>
      <c r="C677" s="16"/>
      <c r="D677" s="16"/>
      <c r="E677" s="16"/>
      <c r="F677" s="16"/>
      <c r="G677" s="16"/>
      <c r="H677" s="16"/>
      <c r="I677" s="16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customFormat="false" ht="12.75" hidden="false" customHeight="true" outlineLevel="0" collapsed="false">
      <c r="A678" s="15"/>
      <c r="B678" s="16"/>
      <c r="C678" s="16"/>
      <c r="D678" s="16"/>
      <c r="E678" s="16"/>
      <c r="F678" s="16"/>
      <c r="G678" s="16"/>
      <c r="H678" s="16"/>
      <c r="I678" s="16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customFormat="false" ht="12.75" hidden="false" customHeight="true" outlineLevel="0" collapsed="false">
      <c r="A679" s="15"/>
      <c r="B679" s="16"/>
      <c r="C679" s="16"/>
      <c r="D679" s="16"/>
      <c r="E679" s="16"/>
      <c r="F679" s="16"/>
      <c r="G679" s="16"/>
      <c r="H679" s="16"/>
      <c r="I679" s="16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customFormat="false" ht="12.75" hidden="false" customHeight="true" outlineLevel="0" collapsed="false">
      <c r="A680" s="15"/>
      <c r="B680" s="16"/>
      <c r="C680" s="16"/>
      <c r="D680" s="16"/>
      <c r="E680" s="16"/>
      <c r="F680" s="16"/>
      <c r="G680" s="16"/>
      <c r="H680" s="16"/>
      <c r="I680" s="16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customFormat="false" ht="12.75" hidden="false" customHeight="true" outlineLevel="0" collapsed="false">
      <c r="A681" s="15"/>
      <c r="B681" s="16"/>
      <c r="C681" s="16"/>
      <c r="D681" s="16"/>
      <c r="E681" s="16"/>
      <c r="F681" s="16"/>
      <c r="G681" s="16"/>
      <c r="H681" s="16"/>
      <c r="I681" s="16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customFormat="false" ht="12.75" hidden="false" customHeight="true" outlineLevel="0" collapsed="false">
      <c r="A682" s="15"/>
      <c r="B682" s="16"/>
      <c r="C682" s="16"/>
      <c r="D682" s="16"/>
      <c r="E682" s="16"/>
      <c r="F682" s="16"/>
      <c r="G682" s="16"/>
      <c r="H682" s="16"/>
      <c r="I682" s="16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customFormat="false" ht="12.75" hidden="false" customHeight="true" outlineLevel="0" collapsed="false">
      <c r="A683" s="15"/>
      <c r="B683" s="16"/>
      <c r="C683" s="16"/>
      <c r="D683" s="16"/>
      <c r="E683" s="16"/>
      <c r="F683" s="16"/>
      <c r="G683" s="16"/>
      <c r="H683" s="16"/>
      <c r="I683" s="16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customFormat="false" ht="12.75" hidden="false" customHeight="true" outlineLevel="0" collapsed="false">
      <c r="A684" s="15"/>
      <c r="B684" s="16"/>
      <c r="C684" s="16"/>
      <c r="D684" s="16"/>
      <c r="E684" s="16"/>
      <c r="F684" s="16"/>
      <c r="G684" s="16"/>
      <c r="H684" s="16"/>
      <c r="I684" s="16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customFormat="false" ht="12.75" hidden="false" customHeight="true" outlineLevel="0" collapsed="false">
      <c r="A685" s="15"/>
      <c r="B685" s="16"/>
      <c r="C685" s="16"/>
      <c r="D685" s="16"/>
      <c r="E685" s="16"/>
      <c r="F685" s="16"/>
      <c r="G685" s="16"/>
      <c r="H685" s="16"/>
      <c r="I685" s="16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customFormat="false" ht="12.75" hidden="false" customHeight="true" outlineLevel="0" collapsed="false">
      <c r="A686" s="15"/>
      <c r="B686" s="16"/>
      <c r="C686" s="16"/>
      <c r="D686" s="16"/>
      <c r="E686" s="16"/>
      <c r="F686" s="16"/>
      <c r="G686" s="16"/>
      <c r="H686" s="16"/>
      <c r="I686" s="16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customFormat="false" ht="12.75" hidden="false" customHeight="true" outlineLevel="0" collapsed="false">
      <c r="A687" s="15"/>
      <c r="B687" s="16"/>
      <c r="C687" s="16"/>
      <c r="D687" s="16"/>
      <c r="E687" s="16"/>
      <c r="F687" s="16"/>
      <c r="G687" s="16"/>
      <c r="H687" s="16"/>
      <c r="I687" s="16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customFormat="false" ht="12.75" hidden="false" customHeight="true" outlineLevel="0" collapsed="false">
      <c r="A688" s="15"/>
      <c r="B688" s="16"/>
      <c r="C688" s="16"/>
      <c r="D688" s="16"/>
      <c r="E688" s="16"/>
      <c r="F688" s="16"/>
      <c r="G688" s="16"/>
      <c r="H688" s="16"/>
      <c r="I688" s="16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customFormat="false" ht="12.75" hidden="false" customHeight="true" outlineLevel="0" collapsed="false">
      <c r="A689" s="15"/>
      <c r="B689" s="16"/>
      <c r="C689" s="16"/>
      <c r="D689" s="16"/>
      <c r="E689" s="16"/>
      <c r="F689" s="16"/>
      <c r="G689" s="16"/>
      <c r="H689" s="16"/>
      <c r="I689" s="16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customFormat="false" ht="12.75" hidden="false" customHeight="true" outlineLevel="0" collapsed="false">
      <c r="A690" s="15"/>
      <c r="B690" s="16"/>
      <c r="C690" s="16"/>
      <c r="D690" s="16"/>
      <c r="E690" s="16"/>
      <c r="F690" s="16"/>
      <c r="G690" s="16"/>
      <c r="H690" s="16"/>
      <c r="I690" s="16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customFormat="false" ht="12.75" hidden="false" customHeight="true" outlineLevel="0" collapsed="false">
      <c r="A691" s="15"/>
      <c r="B691" s="16"/>
      <c r="C691" s="16"/>
      <c r="D691" s="16"/>
      <c r="E691" s="16"/>
      <c r="F691" s="16"/>
      <c r="G691" s="16"/>
      <c r="H691" s="16"/>
      <c r="I691" s="16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customFormat="false" ht="12.75" hidden="false" customHeight="true" outlineLevel="0" collapsed="false">
      <c r="A692" s="15"/>
      <c r="B692" s="16"/>
      <c r="C692" s="16"/>
      <c r="D692" s="16"/>
      <c r="E692" s="16"/>
      <c r="F692" s="16"/>
      <c r="G692" s="16"/>
      <c r="H692" s="16"/>
      <c r="I692" s="16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customFormat="false" ht="12.75" hidden="false" customHeight="true" outlineLevel="0" collapsed="false">
      <c r="A693" s="15"/>
      <c r="B693" s="16"/>
      <c r="C693" s="16"/>
      <c r="D693" s="16"/>
      <c r="E693" s="16"/>
      <c r="F693" s="16"/>
      <c r="G693" s="16"/>
      <c r="H693" s="16"/>
      <c r="I693" s="16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customFormat="false" ht="12.75" hidden="false" customHeight="true" outlineLevel="0" collapsed="false">
      <c r="A694" s="15"/>
      <c r="B694" s="16"/>
      <c r="C694" s="16"/>
      <c r="D694" s="16"/>
      <c r="E694" s="16"/>
      <c r="F694" s="16"/>
      <c r="G694" s="16"/>
      <c r="H694" s="16"/>
      <c r="I694" s="16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customFormat="false" ht="12.75" hidden="false" customHeight="true" outlineLevel="0" collapsed="false">
      <c r="A695" s="15"/>
      <c r="B695" s="16"/>
      <c r="C695" s="16"/>
      <c r="D695" s="16"/>
      <c r="E695" s="16"/>
      <c r="F695" s="16"/>
      <c r="G695" s="16"/>
      <c r="H695" s="16"/>
      <c r="I695" s="16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customFormat="false" ht="12.75" hidden="false" customHeight="true" outlineLevel="0" collapsed="false">
      <c r="A696" s="15"/>
      <c r="B696" s="16"/>
      <c r="C696" s="16"/>
      <c r="D696" s="16"/>
      <c r="E696" s="16"/>
      <c r="F696" s="16"/>
      <c r="G696" s="16"/>
      <c r="H696" s="16"/>
      <c r="I696" s="16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customFormat="false" ht="12.75" hidden="false" customHeight="true" outlineLevel="0" collapsed="false">
      <c r="A697" s="15"/>
      <c r="B697" s="16"/>
      <c r="C697" s="16"/>
      <c r="D697" s="16"/>
      <c r="E697" s="16"/>
      <c r="F697" s="16"/>
      <c r="G697" s="16"/>
      <c r="H697" s="16"/>
      <c r="I697" s="16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customFormat="false" ht="12.75" hidden="false" customHeight="true" outlineLevel="0" collapsed="false">
      <c r="A698" s="15"/>
      <c r="B698" s="16"/>
      <c r="C698" s="16"/>
      <c r="D698" s="16"/>
      <c r="E698" s="16"/>
      <c r="F698" s="16"/>
      <c r="G698" s="16"/>
      <c r="H698" s="16"/>
      <c r="I698" s="16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customFormat="false" ht="12.75" hidden="false" customHeight="true" outlineLevel="0" collapsed="false">
      <c r="A699" s="15"/>
      <c r="B699" s="16"/>
      <c r="C699" s="16"/>
      <c r="D699" s="16"/>
      <c r="E699" s="16"/>
      <c r="F699" s="16"/>
      <c r="G699" s="16"/>
      <c r="H699" s="16"/>
      <c r="I699" s="16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customFormat="false" ht="12.75" hidden="false" customHeight="true" outlineLevel="0" collapsed="false">
      <c r="A700" s="15"/>
      <c r="B700" s="16"/>
      <c r="C700" s="16"/>
      <c r="D700" s="16"/>
      <c r="E700" s="16"/>
      <c r="F700" s="16"/>
      <c r="G700" s="16"/>
      <c r="H700" s="16"/>
      <c r="I700" s="16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customFormat="false" ht="12.75" hidden="false" customHeight="true" outlineLevel="0" collapsed="false">
      <c r="A701" s="15"/>
      <c r="B701" s="16"/>
      <c r="C701" s="16"/>
      <c r="D701" s="16"/>
      <c r="E701" s="16"/>
      <c r="F701" s="16"/>
      <c r="G701" s="16"/>
      <c r="H701" s="16"/>
      <c r="I701" s="16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customFormat="false" ht="12.75" hidden="false" customHeight="true" outlineLevel="0" collapsed="false">
      <c r="A702" s="15"/>
      <c r="B702" s="16"/>
      <c r="C702" s="16"/>
      <c r="D702" s="16"/>
      <c r="E702" s="16"/>
      <c r="F702" s="16"/>
      <c r="G702" s="16"/>
      <c r="H702" s="16"/>
      <c r="I702" s="16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customFormat="false" ht="12.75" hidden="false" customHeight="true" outlineLevel="0" collapsed="false">
      <c r="A703" s="15"/>
      <c r="B703" s="16"/>
      <c r="C703" s="16"/>
      <c r="D703" s="16"/>
      <c r="E703" s="16"/>
      <c r="F703" s="16"/>
      <c r="G703" s="16"/>
      <c r="H703" s="16"/>
      <c r="I703" s="16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customFormat="false" ht="12.75" hidden="false" customHeight="true" outlineLevel="0" collapsed="false">
      <c r="A704" s="15"/>
      <c r="B704" s="16"/>
      <c r="C704" s="16"/>
      <c r="D704" s="16"/>
      <c r="E704" s="16"/>
      <c r="F704" s="16"/>
      <c r="G704" s="16"/>
      <c r="H704" s="16"/>
      <c r="I704" s="16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customFormat="false" ht="12.75" hidden="false" customHeight="true" outlineLevel="0" collapsed="false">
      <c r="A705" s="15"/>
      <c r="B705" s="16"/>
      <c r="C705" s="16"/>
      <c r="D705" s="16"/>
      <c r="E705" s="16"/>
      <c r="F705" s="16"/>
      <c r="G705" s="16"/>
      <c r="H705" s="16"/>
      <c r="I705" s="16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customFormat="false" ht="12.75" hidden="false" customHeight="true" outlineLevel="0" collapsed="false">
      <c r="A706" s="15"/>
      <c r="B706" s="16"/>
      <c r="C706" s="16"/>
      <c r="D706" s="16"/>
      <c r="E706" s="16"/>
      <c r="F706" s="16"/>
      <c r="G706" s="16"/>
      <c r="H706" s="16"/>
      <c r="I706" s="16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customFormat="false" ht="12.75" hidden="false" customHeight="true" outlineLevel="0" collapsed="false">
      <c r="A707" s="15"/>
      <c r="B707" s="16"/>
      <c r="C707" s="16"/>
      <c r="D707" s="16"/>
      <c r="E707" s="16"/>
      <c r="F707" s="16"/>
      <c r="G707" s="16"/>
      <c r="H707" s="16"/>
      <c r="I707" s="16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customFormat="false" ht="12.75" hidden="false" customHeight="true" outlineLevel="0" collapsed="false">
      <c r="A708" s="15"/>
      <c r="B708" s="16"/>
      <c r="C708" s="16"/>
      <c r="D708" s="16"/>
      <c r="E708" s="16"/>
      <c r="F708" s="16"/>
      <c r="G708" s="16"/>
      <c r="H708" s="16"/>
      <c r="I708" s="16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customFormat="false" ht="12.75" hidden="false" customHeight="true" outlineLevel="0" collapsed="false">
      <c r="A709" s="15"/>
      <c r="B709" s="16"/>
      <c r="C709" s="16"/>
      <c r="D709" s="16"/>
      <c r="E709" s="16"/>
      <c r="F709" s="16"/>
      <c r="G709" s="16"/>
      <c r="H709" s="16"/>
      <c r="I709" s="16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customFormat="false" ht="12.75" hidden="false" customHeight="true" outlineLevel="0" collapsed="false">
      <c r="A710" s="15"/>
      <c r="B710" s="16"/>
      <c r="C710" s="16"/>
      <c r="D710" s="16"/>
      <c r="E710" s="16"/>
      <c r="F710" s="16"/>
      <c r="G710" s="16"/>
      <c r="H710" s="16"/>
      <c r="I710" s="16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customFormat="false" ht="12.75" hidden="false" customHeight="true" outlineLevel="0" collapsed="false">
      <c r="A711" s="15"/>
      <c r="B711" s="16"/>
      <c r="C711" s="16"/>
      <c r="D711" s="16"/>
      <c r="E711" s="16"/>
      <c r="F711" s="16"/>
      <c r="G711" s="16"/>
      <c r="H711" s="16"/>
      <c r="I711" s="16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customFormat="false" ht="12.75" hidden="false" customHeight="true" outlineLevel="0" collapsed="false">
      <c r="A712" s="15"/>
      <c r="B712" s="16"/>
      <c r="C712" s="16"/>
      <c r="D712" s="16"/>
      <c r="E712" s="16"/>
      <c r="F712" s="16"/>
      <c r="G712" s="16"/>
      <c r="H712" s="16"/>
      <c r="I712" s="16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customFormat="false" ht="12.75" hidden="false" customHeight="true" outlineLevel="0" collapsed="false">
      <c r="A713" s="15"/>
      <c r="B713" s="16"/>
      <c r="C713" s="16"/>
      <c r="D713" s="16"/>
      <c r="E713" s="16"/>
      <c r="F713" s="16"/>
      <c r="G713" s="16"/>
      <c r="H713" s="16"/>
      <c r="I713" s="16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customFormat="false" ht="12.75" hidden="false" customHeight="true" outlineLevel="0" collapsed="false">
      <c r="A714" s="15"/>
      <c r="B714" s="16"/>
      <c r="C714" s="16"/>
      <c r="D714" s="16"/>
      <c r="E714" s="16"/>
      <c r="F714" s="16"/>
      <c r="G714" s="16"/>
      <c r="H714" s="16"/>
      <c r="I714" s="16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customFormat="false" ht="12.75" hidden="false" customHeight="true" outlineLevel="0" collapsed="false">
      <c r="A715" s="15"/>
      <c r="B715" s="16"/>
      <c r="C715" s="16"/>
      <c r="D715" s="16"/>
      <c r="E715" s="16"/>
      <c r="F715" s="16"/>
      <c r="G715" s="16"/>
      <c r="H715" s="16"/>
      <c r="I715" s="16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customFormat="false" ht="12.75" hidden="false" customHeight="true" outlineLevel="0" collapsed="false">
      <c r="A716" s="15"/>
      <c r="B716" s="16"/>
      <c r="C716" s="16"/>
      <c r="D716" s="16"/>
      <c r="E716" s="16"/>
      <c r="F716" s="16"/>
      <c r="G716" s="16"/>
      <c r="H716" s="16"/>
      <c r="I716" s="16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customFormat="false" ht="12.75" hidden="false" customHeight="true" outlineLevel="0" collapsed="false">
      <c r="A717" s="15"/>
      <c r="B717" s="16"/>
      <c r="C717" s="16"/>
      <c r="D717" s="16"/>
      <c r="E717" s="16"/>
      <c r="F717" s="16"/>
      <c r="G717" s="16"/>
      <c r="H717" s="16"/>
      <c r="I717" s="16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customFormat="false" ht="12.75" hidden="false" customHeight="true" outlineLevel="0" collapsed="false">
      <c r="A718" s="15"/>
      <c r="B718" s="16"/>
      <c r="C718" s="16"/>
      <c r="D718" s="16"/>
      <c r="E718" s="16"/>
      <c r="F718" s="16"/>
      <c r="G718" s="16"/>
      <c r="H718" s="16"/>
      <c r="I718" s="16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customFormat="false" ht="12.75" hidden="false" customHeight="true" outlineLevel="0" collapsed="false">
      <c r="A719" s="15"/>
      <c r="B719" s="16"/>
      <c r="C719" s="16"/>
      <c r="D719" s="16"/>
      <c r="E719" s="16"/>
      <c r="F719" s="16"/>
      <c r="G719" s="16"/>
      <c r="H719" s="16"/>
      <c r="I719" s="16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customFormat="false" ht="12.75" hidden="false" customHeight="true" outlineLevel="0" collapsed="false">
      <c r="A720" s="15"/>
      <c r="B720" s="16"/>
      <c r="C720" s="16"/>
      <c r="D720" s="16"/>
      <c r="E720" s="16"/>
      <c r="F720" s="16"/>
      <c r="G720" s="16"/>
      <c r="H720" s="16"/>
      <c r="I720" s="16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customFormat="false" ht="12.75" hidden="false" customHeight="true" outlineLevel="0" collapsed="false">
      <c r="A721" s="15"/>
      <c r="B721" s="16"/>
      <c r="C721" s="16"/>
      <c r="D721" s="16"/>
      <c r="E721" s="16"/>
      <c r="F721" s="16"/>
      <c r="G721" s="16"/>
      <c r="H721" s="16"/>
      <c r="I721" s="16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customFormat="false" ht="12.75" hidden="false" customHeight="true" outlineLevel="0" collapsed="false">
      <c r="A722" s="15"/>
      <c r="B722" s="16"/>
      <c r="C722" s="16"/>
      <c r="D722" s="16"/>
      <c r="E722" s="16"/>
      <c r="F722" s="16"/>
      <c r="G722" s="16"/>
      <c r="H722" s="16"/>
      <c r="I722" s="16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customFormat="false" ht="12.75" hidden="false" customHeight="true" outlineLevel="0" collapsed="false">
      <c r="A723" s="15"/>
      <c r="B723" s="16"/>
      <c r="C723" s="16"/>
      <c r="D723" s="16"/>
      <c r="E723" s="16"/>
      <c r="F723" s="16"/>
      <c r="G723" s="16"/>
      <c r="H723" s="16"/>
      <c r="I723" s="16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customFormat="false" ht="12.75" hidden="false" customHeight="true" outlineLevel="0" collapsed="false">
      <c r="A724" s="15"/>
      <c r="B724" s="16"/>
      <c r="C724" s="16"/>
      <c r="D724" s="16"/>
      <c r="E724" s="16"/>
      <c r="F724" s="16"/>
      <c r="G724" s="16"/>
      <c r="H724" s="16"/>
      <c r="I724" s="16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customFormat="false" ht="12.75" hidden="false" customHeight="true" outlineLevel="0" collapsed="false">
      <c r="A725" s="15"/>
      <c r="B725" s="16"/>
      <c r="C725" s="16"/>
      <c r="D725" s="16"/>
      <c r="E725" s="16"/>
      <c r="F725" s="16"/>
      <c r="G725" s="16"/>
      <c r="H725" s="16"/>
      <c r="I725" s="16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customFormat="false" ht="12.75" hidden="false" customHeight="true" outlineLevel="0" collapsed="false">
      <c r="A726" s="15"/>
      <c r="B726" s="16"/>
      <c r="C726" s="16"/>
      <c r="D726" s="16"/>
      <c r="E726" s="16"/>
      <c r="F726" s="16"/>
      <c r="G726" s="16"/>
      <c r="H726" s="16"/>
      <c r="I726" s="16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customFormat="false" ht="12.75" hidden="false" customHeight="true" outlineLevel="0" collapsed="false">
      <c r="A727" s="15"/>
      <c r="B727" s="16"/>
      <c r="C727" s="16"/>
      <c r="D727" s="16"/>
      <c r="E727" s="16"/>
      <c r="F727" s="16"/>
      <c r="G727" s="16"/>
      <c r="H727" s="16"/>
      <c r="I727" s="16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customFormat="false" ht="12.75" hidden="false" customHeight="true" outlineLevel="0" collapsed="false">
      <c r="A728" s="15"/>
      <c r="B728" s="16"/>
      <c r="C728" s="16"/>
      <c r="D728" s="16"/>
      <c r="E728" s="16"/>
      <c r="F728" s="16"/>
      <c r="G728" s="16"/>
      <c r="H728" s="16"/>
      <c r="I728" s="16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customFormat="false" ht="12.75" hidden="false" customHeight="true" outlineLevel="0" collapsed="false">
      <c r="A729" s="15"/>
      <c r="B729" s="16"/>
      <c r="C729" s="16"/>
      <c r="D729" s="16"/>
      <c r="E729" s="16"/>
      <c r="F729" s="16"/>
      <c r="G729" s="16"/>
      <c r="H729" s="16"/>
      <c r="I729" s="16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customFormat="false" ht="12.75" hidden="false" customHeight="true" outlineLevel="0" collapsed="false">
      <c r="A730" s="15"/>
      <c r="B730" s="16"/>
      <c r="C730" s="16"/>
      <c r="D730" s="16"/>
      <c r="E730" s="16"/>
      <c r="F730" s="16"/>
      <c r="G730" s="16"/>
      <c r="H730" s="16"/>
      <c r="I730" s="16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customFormat="false" ht="12.75" hidden="false" customHeight="true" outlineLevel="0" collapsed="false">
      <c r="A731" s="15"/>
      <c r="B731" s="16"/>
      <c r="C731" s="16"/>
      <c r="D731" s="16"/>
      <c r="E731" s="16"/>
      <c r="F731" s="16"/>
      <c r="G731" s="16"/>
      <c r="H731" s="16"/>
      <c r="I731" s="16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customFormat="false" ht="12.75" hidden="false" customHeight="true" outlineLevel="0" collapsed="false">
      <c r="A732" s="15"/>
      <c r="B732" s="16"/>
      <c r="C732" s="16"/>
      <c r="D732" s="16"/>
      <c r="E732" s="16"/>
      <c r="F732" s="16"/>
      <c r="G732" s="16"/>
      <c r="H732" s="16"/>
      <c r="I732" s="16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customFormat="false" ht="12.75" hidden="false" customHeight="true" outlineLevel="0" collapsed="false">
      <c r="A733" s="15"/>
      <c r="B733" s="16"/>
      <c r="C733" s="16"/>
      <c r="D733" s="16"/>
      <c r="E733" s="16"/>
      <c r="F733" s="16"/>
      <c r="G733" s="16"/>
      <c r="H733" s="16"/>
      <c r="I733" s="16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customFormat="false" ht="12.75" hidden="false" customHeight="true" outlineLevel="0" collapsed="false">
      <c r="A734" s="15"/>
      <c r="B734" s="16"/>
      <c r="C734" s="16"/>
      <c r="D734" s="16"/>
      <c r="E734" s="16"/>
      <c r="F734" s="16"/>
      <c r="G734" s="16"/>
      <c r="H734" s="16"/>
      <c r="I734" s="16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customFormat="false" ht="12.75" hidden="false" customHeight="true" outlineLevel="0" collapsed="false">
      <c r="A735" s="15"/>
      <c r="B735" s="16"/>
      <c r="C735" s="16"/>
      <c r="D735" s="16"/>
      <c r="E735" s="16"/>
      <c r="F735" s="16"/>
      <c r="G735" s="16"/>
      <c r="H735" s="16"/>
      <c r="I735" s="16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customFormat="false" ht="12.75" hidden="false" customHeight="true" outlineLevel="0" collapsed="false">
      <c r="A736" s="15"/>
      <c r="B736" s="16"/>
      <c r="C736" s="16"/>
      <c r="D736" s="16"/>
      <c r="E736" s="16"/>
      <c r="F736" s="16"/>
      <c r="G736" s="16"/>
      <c r="H736" s="16"/>
      <c r="I736" s="16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customFormat="false" ht="12.75" hidden="false" customHeight="true" outlineLevel="0" collapsed="false">
      <c r="A737" s="15"/>
      <c r="B737" s="16"/>
      <c r="C737" s="16"/>
      <c r="D737" s="16"/>
      <c r="E737" s="16"/>
      <c r="F737" s="16"/>
      <c r="G737" s="16"/>
      <c r="H737" s="16"/>
      <c r="I737" s="16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customFormat="false" ht="12.75" hidden="false" customHeight="true" outlineLevel="0" collapsed="false">
      <c r="A738" s="15"/>
      <c r="B738" s="16"/>
      <c r="C738" s="16"/>
      <c r="D738" s="16"/>
      <c r="E738" s="16"/>
      <c r="F738" s="16"/>
      <c r="G738" s="16"/>
      <c r="H738" s="16"/>
      <c r="I738" s="16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customFormat="false" ht="12.75" hidden="false" customHeight="true" outlineLevel="0" collapsed="false">
      <c r="A739" s="15"/>
      <c r="B739" s="16"/>
      <c r="C739" s="16"/>
      <c r="D739" s="16"/>
      <c r="E739" s="16"/>
      <c r="F739" s="16"/>
      <c r="G739" s="16"/>
      <c r="H739" s="16"/>
      <c r="I739" s="16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customFormat="false" ht="12.75" hidden="false" customHeight="true" outlineLevel="0" collapsed="false">
      <c r="A740" s="15"/>
      <c r="B740" s="16"/>
      <c r="C740" s="16"/>
      <c r="D740" s="16"/>
      <c r="E740" s="16"/>
      <c r="F740" s="16"/>
      <c r="G740" s="16"/>
      <c r="H740" s="16"/>
      <c r="I740" s="16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customFormat="false" ht="12.75" hidden="false" customHeight="true" outlineLevel="0" collapsed="false">
      <c r="A741" s="15"/>
      <c r="B741" s="16"/>
      <c r="C741" s="16"/>
      <c r="D741" s="16"/>
      <c r="E741" s="16"/>
      <c r="F741" s="16"/>
      <c r="G741" s="16"/>
      <c r="H741" s="16"/>
      <c r="I741" s="16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customFormat="false" ht="12.75" hidden="false" customHeight="true" outlineLevel="0" collapsed="false">
      <c r="A742" s="15"/>
      <c r="B742" s="16"/>
      <c r="C742" s="16"/>
      <c r="D742" s="16"/>
      <c r="E742" s="16"/>
      <c r="F742" s="16"/>
      <c r="G742" s="16"/>
      <c r="H742" s="16"/>
      <c r="I742" s="16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customFormat="false" ht="12.75" hidden="false" customHeight="true" outlineLevel="0" collapsed="false">
      <c r="A743" s="15"/>
      <c r="B743" s="16"/>
      <c r="C743" s="16"/>
      <c r="D743" s="16"/>
      <c r="E743" s="16"/>
      <c r="F743" s="16"/>
      <c r="G743" s="16"/>
      <c r="H743" s="16"/>
      <c r="I743" s="16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customFormat="false" ht="12.75" hidden="false" customHeight="true" outlineLevel="0" collapsed="false">
      <c r="A744" s="15"/>
      <c r="B744" s="16"/>
      <c r="C744" s="16"/>
      <c r="D744" s="16"/>
      <c r="E744" s="16"/>
      <c r="F744" s="16"/>
      <c r="G744" s="16"/>
      <c r="H744" s="16"/>
      <c r="I744" s="16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customFormat="false" ht="12.75" hidden="false" customHeight="true" outlineLevel="0" collapsed="false">
      <c r="A745" s="15"/>
      <c r="B745" s="16"/>
      <c r="C745" s="16"/>
      <c r="D745" s="16"/>
      <c r="E745" s="16"/>
      <c r="F745" s="16"/>
      <c r="G745" s="16"/>
      <c r="H745" s="16"/>
      <c r="I745" s="16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customFormat="false" ht="12.75" hidden="false" customHeight="true" outlineLevel="0" collapsed="false">
      <c r="A746" s="15"/>
      <c r="B746" s="16"/>
      <c r="C746" s="16"/>
      <c r="D746" s="16"/>
      <c r="E746" s="16"/>
      <c r="F746" s="16"/>
      <c r="G746" s="16"/>
      <c r="H746" s="16"/>
      <c r="I746" s="16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customFormat="false" ht="12.75" hidden="false" customHeight="true" outlineLevel="0" collapsed="false">
      <c r="A747" s="15"/>
      <c r="B747" s="16"/>
      <c r="C747" s="16"/>
      <c r="D747" s="16"/>
      <c r="E747" s="16"/>
      <c r="F747" s="16"/>
      <c r="G747" s="16"/>
      <c r="H747" s="16"/>
      <c r="I747" s="16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customFormat="false" ht="12.75" hidden="false" customHeight="true" outlineLevel="0" collapsed="false">
      <c r="A748" s="15"/>
      <c r="B748" s="16"/>
      <c r="C748" s="16"/>
      <c r="D748" s="16"/>
      <c r="E748" s="16"/>
      <c r="F748" s="16"/>
      <c r="G748" s="16"/>
      <c r="H748" s="16"/>
      <c r="I748" s="16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customFormat="false" ht="12.75" hidden="false" customHeight="true" outlineLevel="0" collapsed="false">
      <c r="A749" s="15"/>
      <c r="B749" s="16"/>
      <c r="C749" s="16"/>
      <c r="D749" s="16"/>
      <c r="E749" s="16"/>
      <c r="F749" s="16"/>
      <c r="G749" s="16"/>
      <c r="H749" s="16"/>
      <c r="I749" s="16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customFormat="false" ht="12.75" hidden="false" customHeight="true" outlineLevel="0" collapsed="false">
      <c r="A750" s="15"/>
      <c r="B750" s="16"/>
      <c r="C750" s="16"/>
      <c r="D750" s="16"/>
      <c r="E750" s="16"/>
      <c r="F750" s="16"/>
      <c r="G750" s="16"/>
      <c r="H750" s="16"/>
      <c r="I750" s="16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customFormat="false" ht="12.75" hidden="false" customHeight="true" outlineLevel="0" collapsed="false">
      <c r="A751" s="15"/>
      <c r="B751" s="16"/>
      <c r="C751" s="16"/>
      <c r="D751" s="16"/>
      <c r="E751" s="16"/>
      <c r="F751" s="16"/>
      <c r="G751" s="16"/>
      <c r="H751" s="16"/>
      <c r="I751" s="16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customFormat="false" ht="12.75" hidden="false" customHeight="true" outlineLevel="0" collapsed="false">
      <c r="A752" s="15"/>
      <c r="B752" s="16"/>
      <c r="C752" s="16"/>
      <c r="D752" s="16"/>
      <c r="E752" s="16"/>
      <c r="F752" s="16"/>
      <c r="G752" s="16"/>
      <c r="H752" s="16"/>
      <c r="I752" s="16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customFormat="false" ht="12.75" hidden="false" customHeight="true" outlineLevel="0" collapsed="false">
      <c r="A753" s="15"/>
      <c r="B753" s="16"/>
      <c r="C753" s="16"/>
      <c r="D753" s="16"/>
      <c r="E753" s="16"/>
      <c r="F753" s="16"/>
      <c r="G753" s="16"/>
      <c r="H753" s="16"/>
      <c r="I753" s="16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customFormat="false" ht="12.75" hidden="false" customHeight="true" outlineLevel="0" collapsed="false">
      <c r="A754" s="15"/>
      <c r="B754" s="16"/>
      <c r="C754" s="16"/>
      <c r="D754" s="16"/>
      <c r="E754" s="16"/>
      <c r="F754" s="16"/>
      <c r="G754" s="16"/>
      <c r="H754" s="16"/>
      <c r="I754" s="16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customFormat="false" ht="12.75" hidden="false" customHeight="true" outlineLevel="0" collapsed="false">
      <c r="A755" s="15"/>
      <c r="B755" s="16"/>
      <c r="C755" s="16"/>
      <c r="D755" s="16"/>
      <c r="E755" s="16"/>
      <c r="F755" s="16"/>
      <c r="G755" s="16"/>
      <c r="H755" s="16"/>
      <c r="I755" s="16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customFormat="false" ht="12.75" hidden="false" customHeight="true" outlineLevel="0" collapsed="false">
      <c r="A756" s="15"/>
      <c r="B756" s="16"/>
      <c r="C756" s="16"/>
      <c r="D756" s="16"/>
      <c r="E756" s="16"/>
      <c r="F756" s="16"/>
      <c r="G756" s="16"/>
      <c r="H756" s="16"/>
      <c r="I756" s="16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customFormat="false" ht="12.75" hidden="false" customHeight="true" outlineLevel="0" collapsed="false">
      <c r="A757" s="15"/>
      <c r="B757" s="16"/>
      <c r="C757" s="16"/>
      <c r="D757" s="16"/>
      <c r="E757" s="16"/>
      <c r="F757" s="16"/>
      <c r="G757" s="16"/>
      <c r="H757" s="16"/>
      <c r="I757" s="16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customFormat="false" ht="12.75" hidden="false" customHeight="true" outlineLevel="0" collapsed="false">
      <c r="A758" s="15"/>
      <c r="B758" s="16"/>
      <c r="C758" s="16"/>
      <c r="D758" s="16"/>
      <c r="E758" s="16"/>
      <c r="F758" s="16"/>
      <c r="G758" s="16"/>
      <c r="H758" s="16"/>
      <c r="I758" s="16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customFormat="false" ht="12.75" hidden="false" customHeight="true" outlineLevel="0" collapsed="false">
      <c r="A759" s="15"/>
      <c r="B759" s="16"/>
      <c r="C759" s="16"/>
      <c r="D759" s="16"/>
      <c r="E759" s="16"/>
      <c r="F759" s="16"/>
      <c r="G759" s="16"/>
      <c r="H759" s="16"/>
      <c r="I759" s="16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customFormat="false" ht="12.75" hidden="false" customHeight="true" outlineLevel="0" collapsed="false">
      <c r="A760" s="15"/>
      <c r="B760" s="16"/>
      <c r="C760" s="16"/>
      <c r="D760" s="16"/>
      <c r="E760" s="16"/>
      <c r="F760" s="16"/>
      <c r="G760" s="16"/>
      <c r="H760" s="16"/>
      <c r="I760" s="16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customFormat="false" ht="12.75" hidden="false" customHeight="true" outlineLevel="0" collapsed="false">
      <c r="A761" s="15"/>
      <c r="B761" s="16"/>
      <c r="C761" s="16"/>
      <c r="D761" s="16"/>
      <c r="E761" s="16"/>
      <c r="F761" s="16"/>
      <c r="G761" s="16"/>
      <c r="H761" s="16"/>
      <c r="I761" s="16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customFormat="false" ht="12.75" hidden="false" customHeight="true" outlineLevel="0" collapsed="false">
      <c r="A762" s="15"/>
      <c r="B762" s="16"/>
      <c r="C762" s="16"/>
      <c r="D762" s="16"/>
      <c r="E762" s="16"/>
      <c r="F762" s="16"/>
      <c r="G762" s="16"/>
      <c r="H762" s="16"/>
      <c r="I762" s="16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customFormat="false" ht="12.75" hidden="false" customHeight="true" outlineLevel="0" collapsed="false">
      <c r="A763" s="15"/>
      <c r="B763" s="16"/>
      <c r="C763" s="16"/>
      <c r="D763" s="16"/>
      <c r="E763" s="16"/>
      <c r="F763" s="16"/>
      <c r="G763" s="16"/>
      <c r="H763" s="16"/>
      <c r="I763" s="16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customFormat="false" ht="12.75" hidden="false" customHeight="true" outlineLevel="0" collapsed="false">
      <c r="A764" s="15"/>
      <c r="B764" s="16"/>
      <c r="C764" s="16"/>
      <c r="D764" s="16"/>
      <c r="E764" s="16"/>
      <c r="F764" s="16"/>
      <c r="G764" s="16"/>
      <c r="H764" s="16"/>
      <c r="I764" s="16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customFormat="false" ht="12.75" hidden="false" customHeight="true" outlineLevel="0" collapsed="false">
      <c r="A765" s="15"/>
      <c r="B765" s="16"/>
      <c r="C765" s="16"/>
      <c r="D765" s="16"/>
      <c r="E765" s="16"/>
      <c r="F765" s="16"/>
      <c r="G765" s="16"/>
      <c r="H765" s="16"/>
      <c r="I765" s="16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customFormat="false" ht="12.75" hidden="false" customHeight="true" outlineLevel="0" collapsed="false">
      <c r="A766" s="15"/>
      <c r="B766" s="16"/>
      <c r="C766" s="16"/>
      <c r="D766" s="16"/>
      <c r="E766" s="16"/>
      <c r="F766" s="16"/>
      <c r="G766" s="16"/>
      <c r="H766" s="16"/>
      <c r="I766" s="16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customFormat="false" ht="12.75" hidden="false" customHeight="true" outlineLevel="0" collapsed="false">
      <c r="A767" s="15"/>
      <c r="B767" s="16"/>
      <c r="C767" s="16"/>
      <c r="D767" s="16"/>
      <c r="E767" s="16"/>
      <c r="F767" s="16"/>
      <c r="G767" s="16"/>
      <c r="H767" s="16"/>
      <c r="I767" s="16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customFormat="false" ht="12.75" hidden="false" customHeight="true" outlineLevel="0" collapsed="false">
      <c r="A768" s="15"/>
      <c r="B768" s="16"/>
      <c r="C768" s="16"/>
      <c r="D768" s="16"/>
      <c r="E768" s="16"/>
      <c r="F768" s="16"/>
      <c r="G768" s="16"/>
      <c r="H768" s="16"/>
      <c r="I768" s="16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customFormat="false" ht="12.75" hidden="false" customHeight="true" outlineLevel="0" collapsed="false">
      <c r="A769" s="15"/>
      <c r="B769" s="16"/>
      <c r="C769" s="16"/>
      <c r="D769" s="16"/>
      <c r="E769" s="16"/>
      <c r="F769" s="16"/>
      <c r="G769" s="16"/>
      <c r="H769" s="16"/>
      <c r="I769" s="16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customFormat="false" ht="12.75" hidden="false" customHeight="true" outlineLevel="0" collapsed="false">
      <c r="A770" s="15"/>
      <c r="B770" s="16"/>
      <c r="C770" s="16"/>
      <c r="D770" s="16"/>
      <c r="E770" s="16"/>
      <c r="F770" s="16"/>
      <c r="G770" s="16"/>
      <c r="H770" s="16"/>
      <c r="I770" s="16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customFormat="false" ht="12.75" hidden="false" customHeight="true" outlineLevel="0" collapsed="false">
      <c r="A771" s="15"/>
      <c r="B771" s="16"/>
      <c r="C771" s="16"/>
      <c r="D771" s="16"/>
      <c r="E771" s="16"/>
      <c r="F771" s="16"/>
      <c r="G771" s="16"/>
      <c r="H771" s="16"/>
      <c r="I771" s="16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customFormat="false" ht="12.75" hidden="false" customHeight="true" outlineLevel="0" collapsed="false">
      <c r="A772" s="15"/>
      <c r="B772" s="16"/>
      <c r="C772" s="16"/>
      <c r="D772" s="16"/>
      <c r="E772" s="16"/>
      <c r="F772" s="16"/>
      <c r="G772" s="16"/>
      <c r="H772" s="16"/>
      <c r="I772" s="16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customFormat="false" ht="12.75" hidden="false" customHeight="true" outlineLevel="0" collapsed="false">
      <c r="A773" s="15"/>
      <c r="B773" s="16"/>
      <c r="C773" s="16"/>
      <c r="D773" s="16"/>
      <c r="E773" s="16"/>
      <c r="F773" s="16"/>
      <c r="G773" s="16"/>
      <c r="H773" s="16"/>
      <c r="I773" s="16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customFormat="false" ht="12.75" hidden="false" customHeight="true" outlineLevel="0" collapsed="false">
      <c r="A774" s="15"/>
      <c r="B774" s="16"/>
      <c r="C774" s="16"/>
      <c r="D774" s="16"/>
      <c r="E774" s="16"/>
      <c r="F774" s="16"/>
      <c r="G774" s="16"/>
      <c r="H774" s="16"/>
      <c r="I774" s="16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customFormat="false" ht="12.75" hidden="false" customHeight="true" outlineLevel="0" collapsed="false">
      <c r="A775" s="15"/>
      <c r="B775" s="16"/>
      <c r="C775" s="16"/>
      <c r="D775" s="16"/>
      <c r="E775" s="16"/>
      <c r="F775" s="16"/>
      <c r="G775" s="16"/>
      <c r="H775" s="16"/>
      <c r="I775" s="16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customFormat="false" ht="12.75" hidden="false" customHeight="true" outlineLevel="0" collapsed="false">
      <c r="A776" s="15"/>
      <c r="B776" s="16"/>
      <c r="C776" s="16"/>
      <c r="D776" s="16"/>
      <c r="E776" s="16"/>
      <c r="F776" s="16"/>
      <c r="G776" s="16"/>
      <c r="H776" s="16"/>
      <c r="I776" s="16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customFormat="false" ht="12.75" hidden="false" customHeight="true" outlineLevel="0" collapsed="false">
      <c r="A777" s="15"/>
      <c r="B777" s="16"/>
      <c r="C777" s="16"/>
      <c r="D777" s="16"/>
      <c r="E777" s="16"/>
      <c r="F777" s="16"/>
      <c r="G777" s="16"/>
      <c r="H777" s="16"/>
      <c r="I777" s="16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customFormat="false" ht="12.75" hidden="false" customHeight="true" outlineLevel="0" collapsed="false">
      <c r="A778" s="15"/>
      <c r="B778" s="16"/>
      <c r="C778" s="16"/>
      <c r="D778" s="16"/>
      <c r="E778" s="16"/>
      <c r="F778" s="16"/>
      <c r="G778" s="16"/>
      <c r="H778" s="16"/>
      <c r="I778" s="16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customFormat="false" ht="12.75" hidden="false" customHeight="true" outlineLevel="0" collapsed="false">
      <c r="A779" s="15"/>
      <c r="B779" s="16"/>
      <c r="C779" s="16"/>
      <c r="D779" s="16"/>
      <c r="E779" s="16"/>
      <c r="F779" s="16"/>
      <c r="G779" s="16"/>
      <c r="H779" s="16"/>
      <c r="I779" s="16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customFormat="false" ht="12.75" hidden="false" customHeight="true" outlineLevel="0" collapsed="false">
      <c r="A780" s="15"/>
      <c r="B780" s="16"/>
      <c r="C780" s="16"/>
      <c r="D780" s="16"/>
      <c r="E780" s="16"/>
      <c r="F780" s="16"/>
      <c r="G780" s="16"/>
      <c r="H780" s="16"/>
      <c r="I780" s="16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customFormat="false" ht="12.75" hidden="false" customHeight="true" outlineLevel="0" collapsed="false">
      <c r="A781" s="15"/>
      <c r="B781" s="16"/>
      <c r="C781" s="16"/>
      <c r="D781" s="16"/>
      <c r="E781" s="16"/>
      <c r="F781" s="16"/>
      <c r="G781" s="16"/>
      <c r="H781" s="16"/>
      <c r="I781" s="16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customFormat="false" ht="12.75" hidden="false" customHeight="true" outlineLevel="0" collapsed="false">
      <c r="A782" s="15"/>
      <c r="B782" s="16"/>
      <c r="C782" s="16"/>
      <c r="D782" s="16"/>
      <c r="E782" s="16"/>
      <c r="F782" s="16"/>
      <c r="G782" s="16"/>
      <c r="H782" s="16"/>
      <c r="I782" s="16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customFormat="false" ht="12.75" hidden="false" customHeight="true" outlineLevel="0" collapsed="false">
      <c r="A783" s="15"/>
      <c r="B783" s="16"/>
      <c r="C783" s="16"/>
      <c r="D783" s="16"/>
      <c r="E783" s="16"/>
      <c r="F783" s="16"/>
      <c r="G783" s="16"/>
      <c r="H783" s="16"/>
      <c r="I783" s="16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customFormat="false" ht="12.75" hidden="false" customHeight="true" outlineLevel="0" collapsed="false">
      <c r="A784" s="15"/>
      <c r="B784" s="16"/>
      <c r="C784" s="16"/>
      <c r="D784" s="16"/>
      <c r="E784" s="16"/>
      <c r="F784" s="16"/>
      <c r="G784" s="16"/>
      <c r="H784" s="16"/>
      <c r="I784" s="16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customFormat="false" ht="12.75" hidden="false" customHeight="true" outlineLevel="0" collapsed="false">
      <c r="A785" s="15"/>
      <c r="B785" s="16"/>
      <c r="C785" s="16"/>
      <c r="D785" s="16"/>
      <c r="E785" s="16"/>
      <c r="F785" s="16"/>
      <c r="G785" s="16"/>
      <c r="H785" s="16"/>
      <c r="I785" s="16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customFormat="false" ht="12.75" hidden="false" customHeight="true" outlineLevel="0" collapsed="false">
      <c r="A786" s="15"/>
      <c r="B786" s="16"/>
      <c r="C786" s="16"/>
      <c r="D786" s="16"/>
      <c r="E786" s="16"/>
      <c r="F786" s="16"/>
      <c r="G786" s="16"/>
      <c r="H786" s="16"/>
      <c r="I786" s="16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customFormat="false" ht="12.75" hidden="false" customHeight="true" outlineLevel="0" collapsed="false">
      <c r="A787" s="15"/>
      <c r="B787" s="16"/>
      <c r="C787" s="16"/>
      <c r="D787" s="16"/>
      <c r="E787" s="16"/>
      <c r="F787" s="16"/>
      <c r="G787" s="16"/>
      <c r="H787" s="16"/>
      <c r="I787" s="16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customFormat="false" ht="12.75" hidden="false" customHeight="true" outlineLevel="0" collapsed="false">
      <c r="A788" s="15"/>
      <c r="B788" s="16"/>
      <c r="C788" s="16"/>
      <c r="D788" s="16"/>
      <c r="E788" s="16"/>
      <c r="F788" s="16"/>
      <c r="G788" s="16"/>
      <c r="H788" s="16"/>
      <c r="I788" s="16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customFormat="false" ht="12.75" hidden="false" customHeight="true" outlineLevel="0" collapsed="false">
      <c r="A789" s="15"/>
      <c r="B789" s="16"/>
      <c r="C789" s="16"/>
      <c r="D789" s="16"/>
      <c r="E789" s="16"/>
      <c r="F789" s="16"/>
      <c r="G789" s="16"/>
      <c r="H789" s="16"/>
      <c r="I789" s="16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customFormat="false" ht="12.75" hidden="false" customHeight="true" outlineLevel="0" collapsed="false">
      <c r="A790" s="15"/>
      <c r="B790" s="16"/>
      <c r="C790" s="16"/>
      <c r="D790" s="16"/>
      <c r="E790" s="16"/>
      <c r="F790" s="16"/>
      <c r="G790" s="16"/>
      <c r="H790" s="16"/>
      <c r="I790" s="16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customFormat="false" ht="12.75" hidden="false" customHeight="true" outlineLevel="0" collapsed="false">
      <c r="A791" s="15"/>
      <c r="B791" s="16"/>
      <c r="C791" s="16"/>
      <c r="D791" s="16"/>
      <c r="E791" s="16"/>
      <c r="F791" s="16"/>
      <c r="G791" s="16"/>
      <c r="H791" s="16"/>
      <c r="I791" s="16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customFormat="false" ht="12.75" hidden="false" customHeight="true" outlineLevel="0" collapsed="false">
      <c r="A792" s="15"/>
      <c r="B792" s="16"/>
      <c r="C792" s="16"/>
      <c r="D792" s="16"/>
      <c r="E792" s="16"/>
      <c r="F792" s="16"/>
      <c r="G792" s="16"/>
      <c r="H792" s="16"/>
      <c r="I792" s="16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customFormat="false" ht="12.75" hidden="false" customHeight="true" outlineLevel="0" collapsed="false">
      <c r="A793" s="15"/>
      <c r="B793" s="16"/>
      <c r="C793" s="16"/>
      <c r="D793" s="16"/>
      <c r="E793" s="16"/>
      <c r="F793" s="16"/>
      <c r="G793" s="16"/>
      <c r="H793" s="16"/>
      <c r="I793" s="16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customFormat="false" ht="12.75" hidden="false" customHeight="true" outlineLevel="0" collapsed="false">
      <c r="A794" s="15"/>
      <c r="B794" s="16"/>
      <c r="C794" s="16"/>
      <c r="D794" s="16"/>
      <c r="E794" s="16"/>
      <c r="F794" s="16"/>
      <c r="G794" s="16"/>
      <c r="H794" s="16"/>
      <c r="I794" s="16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customFormat="false" ht="12.75" hidden="false" customHeight="true" outlineLevel="0" collapsed="false">
      <c r="A795" s="15"/>
      <c r="B795" s="16"/>
      <c r="C795" s="16"/>
      <c r="D795" s="16"/>
      <c r="E795" s="16"/>
      <c r="F795" s="16"/>
      <c r="G795" s="16"/>
      <c r="H795" s="16"/>
      <c r="I795" s="16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customFormat="false" ht="12.75" hidden="false" customHeight="true" outlineLevel="0" collapsed="false">
      <c r="A796" s="15"/>
      <c r="B796" s="16"/>
      <c r="C796" s="16"/>
      <c r="D796" s="16"/>
      <c r="E796" s="16"/>
      <c r="F796" s="16"/>
      <c r="G796" s="16"/>
      <c r="H796" s="16"/>
      <c r="I796" s="16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customFormat="false" ht="12.75" hidden="false" customHeight="true" outlineLevel="0" collapsed="false">
      <c r="A797" s="15"/>
      <c r="B797" s="16"/>
      <c r="C797" s="16"/>
      <c r="D797" s="16"/>
      <c r="E797" s="16"/>
      <c r="F797" s="16"/>
      <c r="G797" s="16"/>
      <c r="H797" s="16"/>
      <c r="I797" s="16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customFormat="false" ht="12.75" hidden="false" customHeight="true" outlineLevel="0" collapsed="false">
      <c r="A798" s="15"/>
      <c r="B798" s="16"/>
      <c r="C798" s="16"/>
      <c r="D798" s="16"/>
      <c r="E798" s="16"/>
      <c r="F798" s="16"/>
      <c r="G798" s="16"/>
      <c r="H798" s="16"/>
      <c r="I798" s="16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customFormat="false" ht="12.75" hidden="false" customHeight="true" outlineLevel="0" collapsed="false">
      <c r="A799" s="15"/>
      <c r="B799" s="16"/>
      <c r="C799" s="16"/>
      <c r="D799" s="16"/>
      <c r="E799" s="16"/>
      <c r="F799" s="16"/>
      <c r="G799" s="16"/>
      <c r="H799" s="16"/>
      <c r="I799" s="16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customFormat="false" ht="12.75" hidden="false" customHeight="true" outlineLevel="0" collapsed="false">
      <c r="A800" s="15"/>
      <c r="B800" s="16"/>
      <c r="C800" s="16"/>
      <c r="D800" s="16"/>
      <c r="E800" s="16"/>
      <c r="F800" s="16"/>
      <c r="G800" s="16"/>
      <c r="H800" s="16"/>
      <c r="I800" s="16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customFormat="false" ht="12.75" hidden="false" customHeight="true" outlineLevel="0" collapsed="false">
      <c r="A801" s="15"/>
      <c r="B801" s="16"/>
      <c r="C801" s="16"/>
      <c r="D801" s="16"/>
      <c r="E801" s="16"/>
      <c r="F801" s="16"/>
      <c r="G801" s="16"/>
      <c r="H801" s="16"/>
      <c r="I801" s="16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customFormat="false" ht="12.75" hidden="false" customHeight="true" outlineLevel="0" collapsed="false">
      <c r="A802" s="15"/>
      <c r="B802" s="16"/>
      <c r="C802" s="16"/>
      <c r="D802" s="16"/>
      <c r="E802" s="16"/>
      <c r="F802" s="16"/>
      <c r="G802" s="16"/>
      <c r="H802" s="16"/>
      <c r="I802" s="16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customFormat="false" ht="12.75" hidden="false" customHeight="true" outlineLevel="0" collapsed="false">
      <c r="A803" s="15"/>
      <c r="B803" s="16"/>
      <c r="C803" s="16"/>
      <c r="D803" s="16"/>
      <c r="E803" s="16"/>
      <c r="F803" s="16"/>
      <c r="G803" s="16"/>
      <c r="H803" s="16"/>
      <c r="I803" s="16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customFormat="false" ht="12.75" hidden="false" customHeight="true" outlineLevel="0" collapsed="false">
      <c r="A804" s="15"/>
      <c r="B804" s="16"/>
      <c r="C804" s="16"/>
      <c r="D804" s="16"/>
      <c r="E804" s="16"/>
      <c r="F804" s="16"/>
      <c r="G804" s="16"/>
      <c r="H804" s="16"/>
      <c r="I804" s="16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customFormat="false" ht="12.75" hidden="false" customHeight="true" outlineLevel="0" collapsed="false">
      <c r="A805" s="15"/>
      <c r="B805" s="16"/>
      <c r="C805" s="16"/>
      <c r="D805" s="16"/>
      <c r="E805" s="16"/>
      <c r="F805" s="16"/>
      <c r="G805" s="16"/>
      <c r="H805" s="16"/>
      <c r="I805" s="16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customFormat="false" ht="12.75" hidden="false" customHeight="true" outlineLevel="0" collapsed="false">
      <c r="A806" s="15"/>
      <c r="B806" s="16"/>
      <c r="C806" s="16"/>
      <c r="D806" s="16"/>
      <c r="E806" s="16"/>
      <c r="F806" s="16"/>
      <c r="G806" s="16"/>
      <c r="H806" s="16"/>
      <c r="I806" s="16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customFormat="false" ht="12.75" hidden="false" customHeight="true" outlineLevel="0" collapsed="false">
      <c r="A807" s="15"/>
      <c r="B807" s="16"/>
      <c r="C807" s="16"/>
      <c r="D807" s="16"/>
      <c r="E807" s="16"/>
      <c r="F807" s="16"/>
      <c r="G807" s="16"/>
      <c r="H807" s="16"/>
      <c r="I807" s="16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customFormat="false" ht="12.75" hidden="false" customHeight="true" outlineLevel="0" collapsed="false">
      <c r="A808" s="15"/>
      <c r="B808" s="16"/>
      <c r="C808" s="16"/>
      <c r="D808" s="16"/>
      <c r="E808" s="16"/>
      <c r="F808" s="16"/>
      <c r="G808" s="16"/>
      <c r="H808" s="16"/>
      <c r="I808" s="16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customFormat="false" ht="12.75" hidden="false" customHeight="true" outlineLevel="0" collapsed="false">
      <c r="A809" s="15"/>
      <c r="B809" s="16"/>
      <c r="C809" s="16"/>
      <c r="D809" s="16"/>
      <c r="E809" s="16"/>
      <c r="F809" s="16"/>
      <c r="G809" s="16"/>
      <c r="H809" s="16"/>
      <c r="I809" s="16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customFormat="false" ht="12.75" hidden="false" customHeight="true" outlineLevel="0" collapsed="false">
      <c r="A810" s="15"/>
      <c r="B810" s="16"/>
      <c r="C810" s="16"/>
      <c r="D810" s="16"/>
      <c r="E810" s="16"/>
      <c r="F810" s="16"/>
      <c r="G810" s="16"/>
      <c r="H810" s="16"/>
      <c r="I810" s="16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customFormat="false" ht="12.75" hidden="false" customHeight="true" outlineLevel="0" collapsed="false">
      <c r="A811" s="15"/>
      <c r="B811" s="16"/>
      <c r="C811" s="16"/>
      <c r="D811" s="16"/>
      <c r="E811" s="16"/>
      <c r="F811" s="16"/>
      <c r="G811" s="16"/>
      <c r="H811" s="16"/>
      <c r="I811" s="16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customFormat="false" ht="12.75" hidden="false" customHeight="true" outlineLevel="0" collapsed="false">
      <c r="A812" s="15"/>
      <c r="B812" s="16"/>
      <c r="C812" s="16"/>
      <c r="D812" s="16"/>
      <c r="E812" s="16"/>
      <c r="F812" s="16"/>
      <c r="G812" s="16"/>
      <c r="H812" s="16"/>
      <c r="I812" s="16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customFormat="false" ht="12.75" hidden="false" customHeight="true" outlineLevel="0" collapsed="false">
      <c r="A813" s="15"/>
      <c r="B813" s="16"/>
      <c r="C813" s="16"/>
      <c r="D813" s="16"/>
      <c r="E813" s="16"/>
      <c r="F813" s="16"/>
      <c r="G813" s="16"/>
      <c r="H813" s="16"/>
      <c r="I813" s="16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customFormat="false" ht="12.75" hidden="false" customHeight="true" outlineLevel="0" collapsed="false">
      <c r="A814" s="15"/>
      <c r="B814" s="16"/>
      <c r="C814" s="16"/>
      <c r="D814" s="16"/>
      <c r="E814" s="16"/>
      <c r="F814" s="16"/>
      <c r="G814" s="16"/>
      <c r="H814" s="16"/>
      <c r="I814" s="16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customFormat="false" ht="12.75" hidden="false" customHeight="true" outlineLevel="0" collapsed="false">
      <c r="A815" s="15"/>
      <c r="B815" s="16"/>
      <c r="C815" s="16"/>
      <c r="D815" s="16"/>
      <c r="E815" s="16"/>
      <c r="F815" s="16"/>
      <c r="G815" s="16"/>
      <c r="H815" s="16"/>
      <c r="I815" s="16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customFormat="false" ht="12.75" hidden="false" customHeight="true" outlineLevel="0" collapsed="false">
      <c r="A816" s="15"/>
      <c r="B816" s="16"/>
      <c r="C816" s="16"/>
      <c r="D816" s="16"/>
      <c r="E816" s="16"/>
      <c r="F816" s="16"/>
      <c r="G816" s="16"/>
      <c r="H816" s="16"/>
      <c r="I816" s="16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customFormat="false" ht="12.75" hidden="false" customHeight="true" outlineLevel="0" collapsed="false">
      <c r="A817" s="15"/>
      <c r="B817" s="16"/>
      <c r="C817" s="16"/>
      <c r="D817" s="16"/>
      <c r="E817" s="16"/>
      <c r="F817" s="16"/>
      <c r="G817" s="16"/>
      <c r="H817" s="16"/>
      <c r="I817" s="16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customFormat="false" ht="12.75" hidden="false" customHeight="true" outlineLevel="0" collapsed="false">
      <c r="A818" s="15"/>
      <c r="B818" s="16"/>
      <c r="C818" s="16"/>
      <c r="D818" s="16"/>
      <c r="E818" s="16"/>
      <c r="F818" s="16"/>
      <c r="G818" s="16"/>
      <c r="H818" s="16"/>
      <c r="I818" s="16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customFormat="false" ht="12.75" hidden="false" customHeight="true" outlineLevel="0" collapsed="false">
      <c r="A819" s="15"/>
      <c r="B819" s="16"/>
      <c r="C819" s="16"/>
      <c r="D819" s="16"/>
      <c r="E819" s="16"/>
      <c r="F819" s="16"/>
      <c r="G819" s="16"/>
      <c r="H819" s="16"/>
      <c r="I819" s="16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customFormat="false" ht="12.75" hidden="false" customHeight="true" outlineLevel="0" collapsed="false">
      <c r="A820" s="15"/>
      <c r="B820" s="16"/>
      <c r="C820" s="16"/>
      <c r="D820" s="16"/>
      <c r="E820" s="16"/>
      <c r="F820" s="16"/>
      <c r="G820" s="16"/>
      <c r="H820" s="16"/>
      <c r="I820" s="16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customFormat="false" ht="12.75" hidden="false" customHeight="true" outlineLevel="0" collapsed="false">
      <c r="A821" s="15"/>
      <c r="B821" s="16"/>
      <c r="C821" s="16"/>
      <c r="D821" s="16"/>
      <c r="E821" s="16"/>
      <c r="F821" s="16"/>
      <c r="G821" s="16"/>
      <c r="H821" s="16"/>
      <c r="I821" s="16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customFormat="false" ht="12.75" hidden="false" customHeight="true" outlineLevel="0" collapsed="false">
      <c r="A822" s="15"/>
      <c r="B822" s="16"/>
      <c r="C822" s="16"/>
      <c r="D822" s="16"/>
      <c r="E822" s="16"/>
      <c r="F822" s="16"/>
      <c r="G822" s="16"/>
      <c r="H822" s="16"/>
      <c r="I822" s="16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customFormat="false" ht="12.75" hidden="false" customHeight="true" outlineLevel="0" collapsed="false">
      <c r="A823" s="15"/>
      <c r="B823" s="16"/>
      <c r="C823" s="16"/>
      <c r="D823" s="16"/>
      <c r="E823" s="16"/>
      <c r="F823" s="16"/>
      <c r="G823" s="16"/>
      <c r="H823" s="16"/>
      <c r="I823" s="16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customFormat="false" ht="12.75" hidden="false" customHeight="true" outlineLevel="0" collapsed="false">
      <c r="A824" s="15"/>
      <c r="B824" s="16"/>
      <c r="C824" s="16"/>
      <c r="D824" s="16"/>
      <c r="E824" s="16"/>
      <c r="F824" s="16"/>
      <c r="G824" s="16"/>
      <c r="H824" s="16"/>
      <c r="I824" s="16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customFormat="false" ht="12.75" hidden="false" customHeight="true" outlineLevel="0" collapsed="false">
      <c r="A825" s="15"/>
      <c r="B825" s="16"/>
      <c r="C825" s="16"/>
      <c r="D825" s="16"/>
      <c r="E825" s="16"/>
      <c r="F825" s="16"/>
      <c r="G825" s="16"/>
      <c r="H825" s="16"/>
      <c r="I825" s="16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customFormat="false" ht="12.75" hidden="false" customHeight="true" outlineLevel="0" collapsed="false">
      <c r="A826" s="15"/>
      <c r="B826" s="16"/>
      <c r="C826" s="16"/>
      <c r="D826" s="16"/>
      <c r="E826" s="16"/>
      <c r="F826" s="16"/>
      <c r="G826" s="16"/>
      <c r="H826" s="16"/>
      <c r="I826" s="16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customFormat="false" ht="12.75" hidden="false" customHeight="true" outlineLevel="0" collapsed="false">
      <c r="A827" s="15"/>
      <c r="B827" s="16"/>
      <c r="C827" s="16"/>
      <c r="D827" s="16"/>
      <c r="E827" s="16"/>
      <c r="F827" s="16"/>
      <c r="G827" s="16"/>
      <c r="H827" s="16"/>
      <c r="I827" s="16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customFormat="false" ht="12.75" hidden="false" customHeight="true" outlineLevel="0" collapsed="false">
      <c r="A828" s="15"/>
      <c r="B828" s="16"/>
      <c r="C828" s="16"/>
      <c r="D828" s="16"/>
      <c r="E828" s="16"/>
      <c r="F828" s="16"/>
      <c r="G828" s="16"/>
      <c r="H828" s="16"/>
      <c r="I828" s="16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customFormat="false" ht="12.75" hidden="false" customHeight="true" outlineLevel="0" collapsed="false">
      <c r="A829" s="15"/>
      <c r="B829" s="16"/>
      <c r="C829" s="16"/>
      <c r="D829" s="16"/>
      <c r="E829" s="16"/>
      <c r="F829" s="16"/>
      <c r="G829" s="16"/>
      <c r="H829" s="16"/>
      <c r="I829" s="16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customFormat="false" ht="12.75" hidden="false" customHeight="true" outlineLevel="0" collapsed="false">
      <c r="A830" s="15"/>
      <c r="B830" s="16"/>
      <c r="C830" s="16"/>
      <c r="D830" s="16"/>
      <c r="E830" s="16"/>
      <c r="F830" s="16"/>
      <c r="G830" s="16"/>
      <c r="H830" s="16"/>
      <c r="I830" s="16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customFormat="false" ht="12.75" hidden="false" customHeight="true" outlineLevel="0" collapsed="false">
      <c r="A831" s="15"/>
      <c r="B831" s="16"/>
      <c r="C831" s="16"/>
      <c r="D831" s="16"/>
      <c r="E831" s="16"/>
      <c r="F831" s="16"/>
      <c r="G831" s="16"/>
      <c r="H831" s="16"/>
      <c r="I831" s="16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customFormat="false" ht="12.75" hidden="false" customHeight="true" outlineLevel="0" collapsed="false">
      <c r="A832" s="15"/>
      <c r="B832" s="16"/>
      <c r="C832" s="16"/>
      <c r="D832" s="16"/>
      <c r="E832" s="16"/>
      <c r="F832" s="16"/>
      <c r="G832" s="16"/>
      <c r="H832" s="16"/>
      <c r="I832" s="16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customFormat="false" ht="12.75" hidden="false" customHeight="true" outlineLevel="0" collapsed="false">
      <c r="A833" s="15"/>
      <c r="B833" s="16"/>
      <c r="C833" s="16"/>
      <c r="D833" s="16"/>
      <c r="E833" s="16"/>
      <c r="F833" s="16"/>
      <c r="G833" s="16"/>
      <c r="H833" s="16"/>
      <c r="I833" s="16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customFormat="false" ht="12.75" hidden="false" customHeight="true" outlineLevel="0" collapsed="false">
      <c r="A834" s="15"/>
      <c r="B834" s="16"/>
      <c r="C834" s="16"/>
      <c r="D834" s="16"/>
      <c r="E834" s="16"/>
      <c r="F834" s="16"/>
      <c r="G834" s="16"/>
      <c r="H834" s="16"/>
      <c r="I834" s="16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customFormat="false" ht="12.75" hidden="false" customHeight="true" outlineLevel="0" collapsed="false">
      <c r="A835" s="15"/>
      <c r="B835" s="16"/>
      <c r="C835" s="16"/>
      <c r="D835" s="16"/>
      <c r="E835" s="16"/>
      <c r="F835" s="16"/>
      <c r="G835" s="16"/>
      <c r="H835" s="16"/>
      <c r="I835" s="16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customFormat="false" ht="12.75" hidden="false" customHeight="true" outlineLevel="0" collapsed="false">
      <c r="A836" s="15"/>
      <c r="B836" s="16"/>
      <c r="C836" s="16"/>
      <c r="D836" s="16"/>
      <c r="E836" s="16"/>
      <c r="F836" s="16"/>
      <c r="G836" s="16"/>
      <c r="H836" s="16"/>
      <c r="I836" s="16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customFormat="false" ht="12.75" hidden="false" customHeight="true" outlineLevel="0" collapsed="false">
      <c r="A837" s="15"/>
      <c r="B837" s="16"/>
      <c r="C837" s="16"/>
      <c r="D837" s="16"/>
      <c r="E837" s="16"/>
      <c r="F837" s="16"/>
      <c r="G837" s="16"/>
      <c r="H837" s="16"/>
      <c r="I837" s="16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customFormat="false" ht="12.75" hidden="false" customHeight="true" outlineLevel="0" collapsed="false">
      <c r="A838" s="15"/>
      <c r="B838" s="16"/>
      <c r="C838" s="16"/>
      <c r="D838" s="16"/>
      <c r="E838" s="16"/>
      <c r="F838" s="16"/>
      <c r="G838" s="16"/>
      <c r="H838" s="16"/>
      <c r="I838" s="16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customFormat="false" ht="12.75" hidden="false" customHeight="true" outlineLevel="0" collapsed="false">
      <c r="A839" s="15"/>
      <c r="B839" s="16"/>
      <c r="C839" s="16"/>
      <c r="D839" s="16"/>
      <c r="E839" s="16"/>
      <c r="F839" s="16"/>
      <c r="G839" s="16"/>
      <c r="H839" s="16"/>
      <c r="I839" s="16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customFormat="false" ht="12.75" hidden="false" customHeight="true" outlineLevel="0" collapsed="false">
      <c r="A840" s="15"/>
      <c r="B840" s="16"/>
      <c r="C840" s="16"/>
      <c r="D840" s="16"/>
      <c r="E840" s="16"/>
      <c r="F840" s="16"/>
      <c r="G840" s="16"/>
      <c r="H840" s="16"/>
      <c r="I840" s="16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customFormat="false" ht="12.75" hidden="false" customHeight="true" outlineLevel="0" collapsed="false">
      <c r="A841" s="15"/>
      <c r="B841" s="16"/>
      <c r="C841" s="16"/>
      <c r="D841" s="16"/>
      <c r="E841" s="16"/>
      <c r="F841" s="16"/>
      <c r="G841" s="16"/>
      <c r="H841" s="16"/>
      <c r="I841" s="16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customFormat="false" ht="12.75" hidden="false" customHeight="true" outlineLevel="0" collapsed="false">
      <c r="A842" s="15"/>
      <c r="B842" s="16"/>
      <c r="C842" s="16"/>
      <c r="D842" s="16"/>
      <c r="E842" s="16"/>
      <c r="F842" s="16"/>
      <c r="G842" s="16"/>
      <c r="H842" s="16"/>
      <c r="I842" s="16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customFormat="false" ht="12.75" hidden="false" customHeight="true" outlineLevel="0" collapsed="false">
      <c r="A843" s="15"/>
      <c r="B843" s="16"/>
      <c r="C843" s="16"/>
      <c r="D843" s="16"/>
      <c r="E843" s="16"/>
      <c r="F843" s="16"/>
      <c r="G843" s="16"/>
      <c r="H843" s="16"/>
      <c r="I843" s="16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customFormat="false" ht="12.75" hidden="false" customHeight="true" outlineLevel="0" collapsed="false">
      <c r="A844" s="15"/>
      <c r="B844" s="16"/>
      <c r="C844" s="16"/>
      <c r="D844" s="16"/>
      <c r="E844" s="16"/>
      <c r="F844" s="16"/>
      <c r="G844" s="16"/>
      <c r="H844" s="16"/>
      <c r="I844" s="16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customFormat="false" ht="12.75" hidden="false" customHeight="true" outlineLevel="0" collapsed="false">
      <c r="A845" s="15"/>
      <c r="B845" s="16"/>
      <c r="C845" s="16"/>
      <c r="D845" s="16"/>
      <c r="E845" s="16"/>
      <c r="F845" s="16"/>
      <c r="G845" s="16"/>
      <c r="H845" s="16"/>
      <c r="I845" s="16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customFormat="false" ht="12.75" hidden="false" customHeight="true" outlineLevel="0" collapsed="false">
      <c r="A846" s="15"/>
      <c r="B846" s="16"/>
      <c r="C846" s="16"/>
      <c r="D846" s="16"/>
      <c r="E846" s="16"/>
      <c r="F846" s="16"/>
      <c r="G846" s="16"/>
      <c r="H846" s="16"/>
      <c r="I846" s="16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customFormat="false" ht="12.75" hidden="false" customHeight="true" outlineLevel="0" collapsed="false">
      <c r="A847" s="15"/>
      <c r="B847" s="16"/>
      <c r="C847" s="16"/>
      <c r="D847" s="16"/>
      <c r="E847" s="16"/>
      <c r="F847" s="16"/>
      <c r="G847" s="16"/>
      <c r="H847" s="16"/>
      <c r="I847" s="16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customFormat="false" ht="12.75" hidden="false" customHeight="true" outlineLevel="0" collapsed="false">
      <c r="A848" s="15"/>
      <c r="B848" s="16"/>
      <c r="C848" s="16"/>
      <c r="D848" s="16"/>
      <c r="E848" s="16"/>
      <c r="F848" s="16"/>
      <c r="G848" s="16"/>
      <c r="H848" s="16"/>
      <c r="I848" s="16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customFormat="false" ht="12.75" hidden="false" customHeight="true" outlineLevel="0" collapsed="false">
      <c r="A849" s="15"/>
      <c r="B849" s="16"/>
      <c r="C849" s="16"/>
      <c r="D849" s="16"/>
      <c r="E849" s="16"/>
      <c r="F849" s="16"/>
      <c r="G849" s="16"/>
      <c r="H849" s="16"/>
      <c r="I849" s="16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customFormat="false" ht="12.75" hidden="false" customHeight="true" outlineLevel="0" collapsed="false">
      <c r="A850" s="15"/>
      <c r="B850" s="16"/>
      <c r="C850" s="16"/>
      <c r="D850" s="16"/>
      <c r="E850" s="16"/>
      <c r="F850" s="16"/>
      <c r="G850" s="16"/>
      <c r="H850" s="16"/>
      <c r="I850" s="16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customFormat="false" ht="12.75" hidden="false" customHeight="true" outlineLevel="0" collapsed="false">
      <c r="A851" s="15"/>
      <c r="B851" s="16"/>
      <c r="C851" s="16"/>
      <c r="D851" s="16"/>
      <c r="E851" s="16"/>
      <c r="F851" s="16"/>
      <c r="G851" s="16"/>
      <c r="H851" s="16"/>
      <c r="I851" s="16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customFormat="false" ht="12.75" hidden="false" customHeight="true" outlineLevel="0" collapsed="false">
      <c r="A852" s="15"/>
      <c r="B852" s="16"/>
      <c r="C852" s="16"/>
      <c r="D852" s="16"/>
      <c r="E852" s="16"/>
      <c r="F852" s="16"/>
      <c r="G852" s="16"/>
      <c r="H852" s="16"/>
      <c r="I852" s="16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customFormat="false" ht="12.75" hidden="false" customHeight="true" outlineLevel="0" collapsed="false">
      <c r="A853" s="15"/>
      <c r="B853" s="16"/>
      <c r="C853" s="16"/>
      <c r="D853" s="16"/>
      <c r="E853" s="16"/>
      <c r="F853" s="16"/>
      <c r="G853" s="16"/>
      <c r="H853" s="16"/>
      <c r="I853" s="16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customFormat="false" ht="12.75" hidden="false" customHeight="true" outlineLevel="0" collapsed="false">
      <c r="A854" s="15"/>
      <c r="B854" s="16"/>
      <c r="C854" s="16"/>
      <c r="D854" s="16"/>
      <c r="E854" s="16"/>
      <c r="F854" s="16"/>
      <c r="G854" s="16"/>
      <c r="H854" s="16"/>
      <c r="I854" s="16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customFormat="false" ht="12.75" hidden="false" customHeight="true" outlineLevel="0" collapsed="false">
      <c r="A855" s="15"/>
      <c r="B855" s="16"/>
      <c r="C855" s="16"/>
      <c r="D855" s="16"/>
      <c r="E855" s="16"/>
      <c r="F855" s="16"/>
      <c r="G855" s="16"/>
      <c r="H855" s="16"/>
      <c r="I855" s="16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customFormat="false" ht="12.75" hidden="false" customHeight="true" outlineLevel="0" collapsed="false">
      <c r="A856" s="15"/>
      <c r="B856" s="16"/>
      <c r="C856" s="16"/>
      <c r="D856" s="16"/>
      <c r="E856" s="16"/>
      <c r="F856" s="16"/>
      <c r="G856" s="16"/>
      <c r="H856" s="16"/>
      <c r="I856" s="16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customFormat="false" ht="12.75" hidden="false" customHeight="true" outlineLevel="0" collapsed="false">
      <c r="A857" s="15"/>
      <c r="B857" s="16"/>
      <c r="C857" s="16"/>
      <c r="D857" s="16"/>
      <c r="E857" s="16"/>
      <c r="F857" s="16"/>
      <c r="G857" s="16"/>
      <c r="H857" s="16"/>
      <c r="I857" s="16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customFormat="false" ht="12.75" hidden="false" customHeight="true" outlineLevel="0" collapsed="false">
      <c r="A858" s="15"/>
      <c r="B858" s="16"/>
      <c r="C858" s="16"/>
      <c r="D858" s="16"/>
      <c r="E858" s="16"/>
      <c r="F858" s="16"/>
      <c r="G858" s="16"/>
      <c r="H858" s="16"/>
      <c r="I858" s="16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customFormat="false" ht="12.75" hidden="false" customHeight="true" outlineLevel="0" collapsed="false">
      <c r="A859" s="15"/>
      <c r="B859" s="16"/>
      <c r="C859" s="16"/>
      <c r="D859" s="16"/>
      <c r="E859" s="16"/>
      <c r="F859" s="16"/>
      <c r="G859" s="16"/>
      <c r="H859" s="16"/>
      <c r="I859" s="16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customFormat="false" ht="12.75" hidden="false" customHeight="true" outlineLevel="0" collapsed="false">
      <c r="A860" s="15"/>
      <c r="B860" s="16"/>
      <c r="C860" s="16"/>
      <c r="D860" s="16"/>
      <c r="E860" s="16"/>
      <c r="F860" s="16"/>
      <c r="G860" s="16"/>
      <c r="H860" s="16"/>
      <c r="I860" s="16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customFormat="false" ht="12.75" hidden="false" customHeight="true" outlineLevel="0" collapsed="false">
      <c r="A861" s="15"/>
      <c r="B861" s="16"/>
      <c r="C861" s="16"/>
      <c r="D861" s="16"/>
      <c r="E861" s="16"/>
      <c r="F861" s="16"/>
      <c r="G861" s="16"/>
      <c r="H861" s="16"/>
      <c r="I861" s="16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customFormat="false" ht="12.75" hidden="false" customHeight="true" outlineLevel="0" collapsed="false">
      <c r="A862" s="15"/>
      <c r="B862" s="16"/>
      <c r="C862" s="16"/>
      <c r="D862" s="16"/>
      <c r="E862" s="16"/>
      <c r="F862" s="16"/>
      <c r="G862" s="16"/>
      <c r="H862" s="16"/>
      <c r="I862" s="16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customFormat="false" ht="12.75" hidden="false" customHeight="true" outlineLevel="0" collapsed="false">
      <c r="A863" s="15"/>
      <c r="B863" s="16"/>
      <c r="C863" s="16"/>
      <c r="D863" s="16"/>
      <c r="E863" s="16"/>
      <c r="F863" s="16"/>
      <c r="G863" s="16"/>
      <c r="H863" s="16"/>
      <c r="I863" s="16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customFormat="false" ht="12.75" hidden="false" customHeight="true" outlineLevel="0" collapsed="false">
      <c r="A864" s="15"/>
      <c r="B864" s="16"/>
      <c r="C864" s="16"/>
      <c r="D864" s="16"/>
      <c r="E864" s="16"/>
      <c r="F864" s="16"/>
      <c r="G864" s="16"/>
      <c r="H864" s="16"/>
      <c r="I864" s="16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customFormat="false" ht="12.75" hidden="false" customHeight="true" outlineLevel="0" collapsed="false">
      <c r="A865" s="15"/>
      <c r="B865" s="16"/>
      <c r="C865" s="16"/>
      <c r="D865" s="16"/>
      <c r="E865" s="16"/>
      <c r="F865" s="16"/>
      <c r="G865" s="16"/>
      <c r="H865" s="16"/>
      <c r="I865" s="16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customFormat="false" ht="12.75" hidden="false" customHeight="true" outlineLevel="0" collapsed="false">
      <c r="A866" s="15"/>
      <c r="B866" s="16"/>
      <c r="C866" s="16"/>
      <c r="D866" s="16"/>
      <c r="E866" s="16"/>
      <c r="F866" s="16"/>
      <c r="G866" s="16"/>
      <c r="H866" s="16"/>
      <c r="I866" s="16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customFormat="false" ht="12.75" hidden="false" customHeight="true" outlineLevel="0" collapsed="false">
      <c r="A867" s="15"/>
      <c r="B867" s="16"/>
      <c r="C867" s="16"/>
      <c r="D867" s="16"/>
      <c r="E867" s="16"/>
      <c r="F867" s="16"/>
      <c r="G867" s="16"/>
      <c r="H867" s="16"/>
      <c r="I867" s="16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customFormat="false" ht="12.75" hidden="false" customHeight="true" outlineLevel="0" collapsed="false">
      <c r="A868" s="15"/>
      <c r="B868" s="16"/>
      <c r="C868" s="16"/>
      <c r="D868" s="16"/>
      <c r="E868" s="16"/>
      <c r="F868" s="16"/>
      <c r="G868" s="16"/>
      <c r="H868" s="16"/>
      <c r="I868" s="16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customFormat="false" ht="12.75" hidden="false" customHeight="true" outlineLevel="0" collapsed="false">
      <c r="A869" s="15"/>
      <c r="B869" s="16"/>
      <c r="C869" s="16"/>
      <c r="D869" s="16"/>
      <c r="E869" s="16"/>
      <c r="F869" s="16"/>
      <c r="G869" s="16"/>
      <c r="H869" s="16"/>
      <c r="I869" s="16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customFormat="false" ht="12.75" hidden="false" customHeight="true" outlineLevel="0" collapsed="false">
      <c r="A870" s="15"/>
      <c r="B870" s="16"/>
      <c r="C870" s="16"/>
      <c r="D870" s="16"/>
      <c r="E870" s="16"/>
      <c r="F870" s="16"/>
      <c r="G870" s="16"/>
      <c r="H870" s="16"/>
      <c r="I870" s="16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customFormat="false" ht="12.75" hidden="false" customHeight="true" outlineLevel="0" collapsed="false">
      <c r="A871" s="15"/>
      <c r="B871" s="16"/>
      <c r="C871" s="16"/>
      <c r="D871" s="16"/>
      <c r="E871" s="16"/>
      <c r="F871" s="16"/>
      <c r="G871" s="16"/>
      <c r="H871" s="16"/>
      <c r="I871" s="16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customFormat="false" ht="12.75" hidden="false" customHeight="true" outlineLevel="0" collapsed="false">
      <c r="A872" s="15"/>
      <c r="B872" s="16"/>
      <c r="C872" s="16"/>
      <c r="D872" s="16"/>
      <c r="E872" s="16"/>
      <c r="F872" s="16"/>
      <c r="G872" s="16"/>
      <c r="H872" s="16"/>
      <c r="I872" s="16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customFormat="false" ht="12.75" hidden="false" customHeight="true" outlineLevel="0" collapsed="false">
      <c r="A873" s="15"/>
      <c r="B873" s="16"/>
      <c r="C873" s="16"/>
      <c r="D873" s="16"/>
      <c r="E873" s="16"/>
      <c r="F873" s="16"/>
      <c r="G873" s="16"/>
      <c r="H873" s="16"/>
      <c r="I873" s="16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customFormat="false" ht="12.75" hidden="false" customHeight="true" outlineLevel="0" collapsed="false">
      <c r="A874" s="15"/>
      <c r="B874" s="16"/>
      <c r="C874" s="16"/>
      <c r="D874" s="16"/>
      <c r="E874" s="16"/>
      <c r="F874" s="16"/>
      <c r="G874" s="16"/>
      <c r="H874" s="16"/>
      <c r="I874" s="16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customFormat="false" ht="12.75" hidden="false" customHeight="true" outlineLevel="0" collapsed="false">
      <c r="A875" s="15"/>
      <c r="B875" s="16"/>
      <c r="C875" s="16"/>
      <c r="D875" s="16"/>
      <c r="E875" s="16"/>
      <c r="F875" s="16"/>
      <c r="G875" s="16"/>
      <c r="H875" s="16"/>
      <c r="I875" s="16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customFormat="false" ht="12.75" hidden="false" customHeight="true" outlineLevel="0" collapsed="false">
      <c r="A876" s="15"/>
      <c r="B876" s="16"/>
      <c r="C876" s="16"/>
      <c r="D876" s="16"/>
      <c r="E876" s="16"/>
      <c r="F876" s="16"/>
      <c r="G876" s="16"/>
      <c r="H876" s="16"/>
      <c r="I876" s="16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customFormat="false" ht="12.75" hidden="false" customHeight="true" outlineLevel="0" collapsed="false">
      <c r="A877" s="15"/>
      <c r="B877" s="16"/>
      <c r="C877" s="16"/>
      <c r="D877" s="16"/>
      <c r="E877" s="16"/>
      <c r="F877" s="16"/>
      <c r="G877" s="16"/>
      <c r="H877" s="16"/>
      <c r="I877" s="16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customFormat="false" ht="12.75" hidden="false" customHeight="true" outlineLevel="0" collapsed="false">
      <c r="A878" s="15"/>
      <c r="B878" s="16"/>
      <c r="C878" s="16"/>
      <c r="D878" s="16"/>
      <c r="E878" s="16"/>
      <c r="F878" s="16"/>
      <c r="G878" s="16"/>
      <c r="H878" s="16"/>
      <c r="I878" s="16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customFormat="false" ht="12.75" hidden="false" customHeight="true" outlineLevel="0" collapsed="false">
      <c r="A879" s="15"/>
      <c r="B879" s="16"/>
      <c r="C879" s="16"/>
      <c r="D879" s="16"/>
      <c r="E879" s="16"/>
      <c r="F879" s="16"/>
      <c r="G879" s="16"/>
      <c r="H879" s="16"/>
      <c r="I879" s="16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customFormat="false" ht="12.75" hidden="false" customHeight="true" outlineLevel="0" collapsed="false">
      <c r="A880" s="15"/>
      <c r="B880" s="16"/>
      <c r="C880" s="16"/>
      <c r="D880" s="16"/>
      <c r="E880" s="16"/>
      <c r="F880" s="16"/>
      <c r="G880" s="16"/>
      <c r="H880" s="16"/>
      <c r="I880" s="16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customFormat="false" ht="12.75" hidden="false" customHeight="true" outlineLevel="0" collapsed="false">
      <c r="A881" s="15"/>
      <c r="B881" s="16"/>
      <c r="C881" s="16"/>
      <c r="D881" s="16"/>
      <c r="E881" s="16"/>
      <c r="F881" s="16"/>
      <c r="G881" s="16"/>
      <c r="H881" s="16"/>
      <c r="I881" s="16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customFormat="false" ht="12.75" hidden="false" customHeight="true" outlineLevel="0" collapsed="false">
      <c r="A882" s="15"/>
      <c r="B882" s="16"/>
      <c r="C882" s="16"/>
      <c r="D882" s="16"/>
      <c r="E882" s="16"/>
      <c r="F882" s="16"/>
      <c r="G882" s="16"/>
      <c r="H882" s="16"/>
      <c r="I882" s="16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customFormat="false" ht="12.75" hidden="false" customHeight="true" outlineLevel="0" collapsed="false">
      <c r="A883" s="15"/>
      <c r="B883" s="16"/>
      <c r="C883" s="16"/>
      <c r="D883" s="16"/>
      <c r="E883" s="16"/>
      <c r="F883" s="16"/>
      <c r="G883" s="16"/>
      <c r="H883" s="16"/>
      <c r="I883" s="16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customFormat="false" ht="12.75" hidden="false" customHeight="true" outlineLevel="0" collapsed="false">
      <c r="A884" s="15"/>
      <c r="B884" s="16"/>
      <c r="C884" s="16"/>
      <c r="D884" s="16"/>
      <c r="E884" s="16"/>
      <c r="F884" s="16"/>
      <c r="G884" s="16"/>
      <c r="H884" s="16"/>
      <c r="I884" s="16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customFormat="false" ht="12.75" hidden="false" customHeight="true" outlineLevel="0" collapsed="false">
      <c r="A885" s="15"/>
      <c r="B885" s="16"/>
      <c r="C885" s="16"/>
      <c r="D885" s="16"/>
      <c r="E885" s="16"/>
      <c r="F885" s="16"/>
      <c r="G885" s="16"/>
      <c r="H885" s="16"/>
      <c r="I885" s="16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customFormat="false" ht="12.75" hidden="false" customHeight="true" outlineLevel="0" collapsed="false">
      <c r="A886" s="15"/>
      <c r="B886" s="16"/>
      <c r="C886" s="16"/>
      <c r="D886" s="16"/>
      <c r="E886" s="16"/>
      <c r="F886" s="16"/>
      <c r="G886" s="16"/>
      <c r="H886" s="16"/>
      <c r="I886" s="16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customFormat="false" ht="12.75" hidden="false" customHeight="true" outlineLevel="0" collapsed="false">
      <c r="A887" s="15"/>
      <c r="B887" s="16"/>
      <c r="C887" s="16"/>
      <c r="D887" s="16"/>
      <c r="E887" s="16"/>
      <c r="F887" s="16"/>
      <c r="G887" s="16"/>
      <c r="H887" s="16"/>
      <c r="I887" s="16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customFormat="false" ht="12.75" hidden="false" customHeight="true" outlineLevel="0" collapsed="false">
      <c r="A888" s="15"/>
      <c r="B888" s="16"/>
      <c r="C888" s="16"/>
      <c r="D888" s="16"/>
      <c r="E888" s="16"/>
      <c r="F888" s="16"/>
      <c r="G888" s="16"/>
      <c r="H888" s="16"/>
      <c r="I888" s="16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customFormat="false" ht="12.75" hidden="false" customHeight="true" outlineLevel="0" collapsed="false">
      <c r="A889" s="15"/>
      <c r="B889" s="16"/>
      <c r="C889" s="16"/>
      <c r="D889" s="16"/>
      <c r="E889" s="16"/>
      <c r="F889" s="16"/>
      <c r="G889" s="16"/>
      <c r="H889" s="16"/>
      <c r="I889" s="16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customFormat="false" ht="12.75" hidden="false" customHeight="true" outlineLevel="0" collapsed="false">
      <c r="A890" s="15"/>
      <c r="B890" s="16"/>
      <c r="C890" s="16"/>
      <c r="D890" s="16"/>
      <c r="E890" s="16"/>
      <c r="F890" s="16"/>
      <c r="G890" s="16"/>
      <c r="H890" s="16"/>
      <c r="I890" s="16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customFormat="false" ht="12.75" hidden="false" customHeight="true" outlineLevel="0" collapsed="false">
      <c r="A891" s="15"/>
      <c r="B891" s="16"/>
      <c r="C891" s="16"/>
      <c r="D891" s="16"/>
      <c r="E891" s="16"/>
      <c r="F891" s="16"/>
      <c r="G891" s="16"/>
      <c r="H891" s="16"/>
      <c r="I891" s="16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customFormat="false" ht="12.75" hidden="false" customHeight="true" outlineLevel="0" collapsed="false">
      <c r="A892" s="15"/>
      <c r="B892" s="16"/>
      <c r="C892" s="16"/>
      <c r="D892" s="16"/>
      <c r="E892" s="16"/>
      <c r="F892" s="16"/>
      <c r="G892" s="16"/>
      <c r="H892" s="16"/>
      <c r="I892" s="16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customFormat="false" ht="12.75" hidden="false" customHeight="true" outlineLevel="0" collapsed="false">
      <c r="A893" s="15"/>
      <c r="B893" s="16"/>
      <c r="C893" s="16"/>
      <c r="D893" s="16"/>
      <c r="E893" s="16"/>
      <c r="F893" s="16"/>
      <c r="G893" s="16"/>
      <c r="H893" s="16"/>
      <c r="I893" s="16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customFormat="false" ht="12.75" hidden="false" customHeight="true" outlineLevel="0" collapsed="false">
      <c r="A894" s="15"/>
      <c r="B894" s="16"/>
      <c r="C894" s="16"/>
      <c r="D894" s="16"/>
      <c r="E894" s="16"/>
      <c r="F894" s="16"/>
      <c r="G894" s="16"/>
      <c r="H894" s="16"/>
      <c r="I894" s="16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customFormat="false" ht="12.75" hidden="false" customHeight="true" outlineLevel="0" collapsed="false">
      <c r="A895" s="15"/>
      <c r="B895" s="16"/>
      <c r="C895" s="16"/>
      <c r="D895" s="16"/>
      <c r="E895" s="16"/>
      <c r="F895" s="16"/>
      <c r="G895" s="16"/>
      <c r="H895" s="16"/>
      <c r="I895" s="16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customFormat="false" ht="12.75" hidden="false" customHeight="true" outlineLevel="0" collapsed="false">
      <c r="A896" s="15"/>
      <c r="B896" s="16"/>
      <c r="C896" s="16"/>
      <c r="D896" s="16"/>
      <c r="E896" s="16"/>
      <c r="F896" s="16"/>
      <c r="G896" s="16"/>
      <c r="H896" s="16"/>
      <c r="I896" s="16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customFormat="false" ht="12.75" hidden="false" customHeight="true" outlineLevel="0" collapsed="false">
      <c r="A897" s="15"/>
      <c r="B897" s="16"/>
      <c r="C897" s="16"/>
      <c r="D897" s="16"/>
      <c r="E897" s="16"/>
      <c r="F897" s="16"/>
      <c r="G897" s="16"/>
      <c r="H897" s="16"/>
      <c r="I897" s="16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customFormat="false" ht="12.75" hidden="false" customHeight="true" outlineLevel="0" collapsed="false">
      <c r="A898" s="15"/>
      <c r="B898" s="16"/>
      <c r="C898" s="16"/>
      <c r="D898" s="16"/>
      <c r="E898" s="16"/>
      <c r="F898" s="16"/>
      <c r="G898" s="16"/>
      <c r="H898" s="16"/>
      <c r="I898" s="16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customFormat="false" ht="12.75" hidden="false" customHeight="true" outlineLevel="0" collapsed="false">
      <c r="A899" s="15"/>
      <c r="B899" s="16"/>
      <c r="C899" s="16"/>
      <c r="D899" s="16"/>
      <c r="E899" s="16"/>
      <c r="F899" s="16"/>
      <c r="G899" s="16"/>
      <c r="H899" s="16"/>
      <c r="I899" s="16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customFormat="false" ht="12.75" hidden="false" customHeight="true" outlineLevel="0" collapsed="false">
      <c r="A900" s="15"/>
      <c r="B900" s="16"/>
      <c r="C900" s="16"/>
      <c r="D900" s="16"/>
      <c r="E900" s="16"/>
      <c r="F900" s="16"/>
      <c r="G900" s="16"/>
      <c r="H900" s="16"/>
      <c r="I900" s="16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customFormat="false" ht="12.75" hidden="false" customHeight="true" outlineLevel="0" collapsed="false">
      <c r="A901" s="15"/>
      <c r="B901" s="16"/>
      <c r="C901" s="16"/>
      <c r="D901" s="16"/>
      <c r="E901" s="16"/>
      <c r="F901" s="16"/>
      <c r="G901" s="16"/>
      <c r="H901" s="16"/>
      <c r="I901" s="16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customFormat="false" ht="12.75" hidden="false" customHeight="true" outlineLevel="0" collapsed="false">
      <c r="A902" s="15"/>
      <c r="B902" s="16"/>
      <c r="C902" s="16"/>
      <c r="D902" s="16"/>
      <c r="E902" s="16"/>
      <c r="F902" s="16"/>
      <c r="G902" s="16"/>
      <c r="H902" s="16"/>
      <c r="I902" s="16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customFormat="false" ht="12.75" hidden="false" customHeight="true" outlineLevel="0" collapsed="false">
      <c r="A903" s="15"/>
      <c r="B903" s="16"/>
      <c r="C903" s="16"/>
      <c r="D903" s="16"/>
      <c r="E903" s="16"/>
      <c r="F903" s="16"/>
      <c r="G903" s="16"/>
      <c r="H903" s="16"/>
      <c r="I903" s="16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customFormat="false" ht="12.75" hidden="false" customHeight="true" outlineLevel="0" collapsed="false">
      <c r="A904" s="15"/>
      <c r="B904" s="16"/>
      <c r="C904" s="16"/>
      <c r="D904" s="16"/>
      <c r="E904" s="16"/>
      <c r="F904" s="16"/>
      <c r="G904" s="16"/>
      <c r="H904" s="16"/>
      <c r="I904" s="16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customFormat="false" ht="12.75" hidden="false" customHeight="true" outlineLevel="0" collapsed="false">
      <c r="A905" s="15"/>
      <c r="B905" s="16"/>
      <c r="C905" s="16"/>
      <c r="D905" s="16"/>
      <c r="E905" s="16"/>
      <c r="F905" s="16"/>
      <c r="G905" s="16"/>
      <c r="H905" s="16"/>
      <c r="I905" s="16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customFormat="false" ht="12.75" hidden="false" customHeight="true" outlineLevel="0" collapsed="false">
      <c r="A906" s="15"/>
      <c r="B906" s="16"/>
      <c r="C906" s="16"/>
      <c r="D906" s="16"/>
      <c r="E906" s="16"/>
      <c r="F906" s="16"/>
      <c r="G906" s="16"/>
      <c r="H906" s="16"/>
      <c r="I906" s="16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customFormat="false" ht="12.75" hidden="false" customHeight="true" outlineLevel="0" collapsed="false">
      <c r="A907" s="15"/>
      <c r="B907" s="16"/>
      <c r="C907" s="16"/>
      <c r="D907" s="16"/>
      <c r="E907" s="16"/>
      <c r="F907" s="16"/>
      <c r="G907" s="16"/>
      <c r="H907" s="16"/>
      <c r="I907" s="16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customFormat="false" ht="12.75" hidden="false" customHeight="true" outlineLevel="0" collapsed="false">
      <c r="A908" s="15"/>
      <c r="B908" s="16"/>
      <c r="C908" s="16"/>
      <c r="D908" s="16"/>
      <c r="E908" s="16"/>
      <c r="F908" s="16"/>
      <c r="G908" s="16"/>
      <c r="H908" s="16"/>
      <c r="I908" s="16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customFormat="false" ht="12.75" hidden="false" customHeight="true" outlineLevel="0" collapsed="false">
      <c r="A909" s="15"/>
      <c r="B909" s="16"/>
      <c r="C909" s="16"/>
      <c r="D909" s="16"/>
      <c r="E909" s="16"/>
      <c r="F909" s="16"/>
      <c r="G909" s="16"/>
      <c r="H909" s="16"/>
      <c r="I909" s="16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customFormat="false" ht="12.75" hidden="false" customHeight="true" outlineLevel="0" collapsed="false">
      <c r="A910" s="15"/>
      <c r="B910" s="16"/>
      <c r="C910" s="16"/>
      <c r="D910" s="16"/>
      <c r="E910" s="16"/>
      <c r="F910" s="16"/>
      <c r="G910" s="16"/>
      <c r="H910" s="16"/>
      <c r="I910" s="16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customFormat="false" ht="12.75" hidden="false" customHeight="true" outlineLevel="0" collapsed="false">
      <c r="A911" s="15"/>
      <c r="B911" s="16"/>
      <c r="C911" s="16"/>
      <c r="D911" s="16"/>
      <c r="E911" s="16"/>
      <c r="F911" s="16"/>
      <c r="G911" s="16"/>
      <c r="H911" s="16"/>
      <c r="I911" s="16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customFormat="false" ht="12.75" hidden="false" customHeight="true" outlineLevel="0" collapsed="false">
      <c r="A912" s="15"/>
      <c r="B912" s="16"/>
      <c r="C912" s="16"/>
      <c r="D912" s="16"/>
      <c r="E912" s="16"/>
      <c r="F912" s="16"/>
      <c r="G912" s="16"/>
      <c r="H912" s="16"/>
      <c r="I912" s="16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customFormat="false" ht="12.75" hidden="false" customHeight="true" outlineLevel="0" collapsed="false">
      <c r="A913" s="15"/>
      <c r="B913" s="16"/>
      <c r="C913" s="16"/>
      <c r="D913" s="16"/>
      <c r="E913" s="16"/>
      <c r="F913" s="16"/>
      <c r="G913" s="16"/>
      <c r="H913" s="16"/>
      <c r="I913" s="16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customFormat="false" ht="12.75" hidden="false" customHeight="true" outlineLevel="0" collapsed="false">
      <c r="A914" s="15"/>
      <c r="B914" s="16"/>
      <c r="C914" s="16"/>
      <c r="D914" s="16"/>
      <c r="E914" s="16"/>
      <c r="F914" s="16"/>
      <c r="G914" s="16"/>
      <c r="H914" s="16"/>
      <c r="I914" s="16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customFormat="false" ht="12.75" hidden="false" customHeight="true" outlineLevel="0" collapsed="false">
      <c r="A915" s="15"/>
      <c r="B915" s="16"/>
      <c r="C915" s="16"/>
      <c r="D915" s="16"/>
      <c r="E915" s="16"/>
      <c r="F915" s="16"/>
      <c r="G915" s="16"/>
      <c r="H915" s="16"/>
      <c r="I915" s="16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customFormat="false" ht="12.75" hidden="false" customHeight="true" outlineLevel="0" collapsed="false">
      <c r="A916" s="15"/>
      <c r="B916" s="16"/>
      <c r="C916" s="16"/>
      <c r="D916" s="16"/>
      <c r="E916" s="16"/>
      <c r="F916" s="16"/>
      <c r="G916" s="16"/>
      <c r="H916" s="16"/>
      <c r="I916" s="16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customFormat="false" ht="12.75" hidden="false" customHeight="true" outlineLevel="0" collapsed="false">
      <c r="A917" s="15"/>
      <c r="B917" s="16"/>
      <c r="C917" s="16"/>
      <c r="D917" s="16"/>
      <c r="E917" s="16"/>
      <c r="F917" s="16"/>
      <c r="G917" s="16"/>
      <c r="H917" s="16"/>
      <c r="I917" s="16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customFormat="false" ht="12.75" hidden="false" customHeight="true" outlineLevel="0" collapsed="false">
      <c r="A918" s="15"/>
      <c r="B918" s="16"/>
      <c r="C918" s="16"/>
      <c r="D918" s="16"/>
      <c r="E918" s="16"/>
      <c r="F918" s="16"/>
      <c r="G918" s="16"/>
      <c r="H918" s="16"/>
      <c r="I918" s="16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customFormat="false" ht="12.75" hidden="false" customHeight="true" outlineLevel="0" collapsed="false">
      <c r="A919" s="15"/>
      <c r="B919" s="16"/>
      <c r="C919" s="16"/>
      <c r="D919" s="16"/>
      <c r="E919" s="16"/>
      <c r="F919" s="16"/>
      <c r="G919" s="16"/>
      <c r="H919" s="16"/>
      <c r="I919" s="16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customFormat="false" ht="12.75" hidden="false" customHeight="true" outlineLevel="0" collapsed="false">
      <c r="A920" s="15"/>
      <c r="B920" s="16"/>
      <c r="C920" s="16"/>
      <c r="D920" s="16"/>
      <c r="E920" s="16"/>
      <c r="F920" s="16"/>
      <c r="G920" s="16"/>
      <c r="H920" s="16"/>
      <c r="I920" s="16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customFormat="false" ht="12.75" hidden="false" customHeight="true" outlineLevel="0" collapsed="false">
      <c r="A921" s="15"/>
      <c r="B921" s="16"/>
      <c r="C921" s="16"/>
      <c r="D921" s="16"/>
      <c r="E921" s="16"/>
      <c r="F921" s="16"/>
      <c r="G921" s="16"/>
      <c r="H921" s="16"/>
      <c r="I921" s="16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customFormat="false" ht="12.75" hidden="false" customHeight="true" outlineLevel="0" collapsed="false">
      <c r="A922" s="15"/>
      <c r="B922" s="16"/>
      <c r="C922" s="16"/>
      <c r="D922" s="16"/>
      <c r="E922" s="16"/>
      <c r="F922" s="16"/>
      <c r="G922" s="16"/>
      <c r="H922" s="16"/>
      <c r="I922" s="16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customFormat="false" ht="12.75" hidden="false" customHeight="true" outlineLevel="0" collapsed="false">
      <c r="A923" s="15"/>
      <c r="B923" s="16"/>
      <c r="C923" s="16"/>
      <c r="D923" s="16"/>
      <c r="E923" s="16"/>
      <c r="F923" s="16"/>
      <c r="G923" s="16"/>
      <c r="H923" s="16"/>
      <c r="I923" s="16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customFormat="false" ht="12.75" hidden="false" customHeight="true" outlineLevel="0" collapsed="false">
      <c r="A924" s="15"/>
      <c r="B924" s="16"/>
      <c r="C924" s="16"/>
      <c r="D924" s="16"/>
      <c r="E924" s="16"/>
      <c r="F924" s="16"/>
      <c r="G924" s="16"/>
      <c r="H924" s="16"/>
      <c r="I924" s="16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customFormat="false" ht="12.75" hidden="false" customHeight="true" outlineLevel="0" collapsed="false">
      <c r="A925" s="15"/>
      <c r="B925" s="16"/>
      <c r="C925" s="16"/>
      <c r="D925" s="16"/>
      <c r="E925" s="16"/>
      <c r="F925" s="16"/>
      <c r="G925" s="16"/>
      <c r="H925" s="16"/>
      <c r="I925" s="16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customFormat="false" ht="12.75" hidden="false" customHeight="true" outlineLevel="0" collapsed="false">
      <c r="A926" s="15"/>
      <c r="B926" s="16"/>
      <c r="C926" s="16"/>
      <c r="D926" s="16"/>
      <c r="E926" s="16"/>
      <c r="F926" s="16"/>
      <c r="G926" s="16"/>
      <c r="H926" s="16"/>
      <c r="I926" s="16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customFormat="false" ht="12.75" hidden="false" customHeight="true" outlineLevel="0" collapsed="false">
      <c r="A927" s="15"/>
      <c r="B927" s="16"/>
      <c r="C927" s="16"/>
      <c r="D927" s="16"/>
      <c r="E927" s="16"/>
      <c r="F927" s="16"/>
      <c r="G927" s="16"/>
      <c r="H927" s="16"/>
      <c r="I927" s="16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customFormat="false" ht="12.75" hidden="false" customHeight="true" outlineLevel="0" collapsed="false">
      <c r="A928" s="15"/>
      <c r="B928" s="16"/>
      <c r="C928" s="16"/>
      <c r="D928" s="16"/>
      <c r="E928" s="16"/>
      <c r="F928" s="16"/>
      <c r="G928" s="16"/>
      <c r="H928" s="16"/>
      <c r="I928" s="16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customFormat="false" ht="12.75" hidden="false" customHeight="true" outlineLevel="0" collapsed="false">
      <c r="A929" s="15"/>
      <c r="B929" s="16"/>
      <c r="C929" s="16"/>
      <c r="D929" s="16"/>
      <c r="E929" s="16"/>
      <c r="F929" s="16"/>
      <c r="G929" s="16"/>
      <c r="H929" s="16"/>
      <c r="I929" s="16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customFormat="false" ht="12.75" hidden="false" customHeight="true" outlineLevel="0" collapsed="false">
      <c r="A930" s="15"/>
      <c r="B930" s="16"/>
      <c r="C930" s="16"/>
      <c r="D930" s="16"/>
      <c r="E930" s="16"/>
      <c r="F930" s="16"/>
      <c r="G930" s="16"/>
      <c r="H930" s="16"/>
      <c r="I930" s="16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customFormat="false" ht="12.75" hidden="false" customHeight="true" outlineLevel="0" collapsed="false">
      <c r="A931" s="15"/>
      <c r="B931" s="16"/>
      <c r="C931" s="16"/>
      <c r="D931" s="16"/>
      <c r="E931" s="16"/>
      <c r="F931" s="16"/>
      <c r="G931" s="16"/>
      <c r="H931" s="16"/>
      <c r="I931" s="16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customFormat="false" ht="12.75" hidden="false" customHeight="true" outlineLevel="0" collapsed="false">
      <c r="A932" s="15"/>
      <c r="B932" s="16"/>
      <c r="C932" s="16"/>
      <c r="D932" s="16"/>
      <c r="E932" s="16"/>
      <c r="F932" s="16"/>
      <c r="G932" s="16"/>
      <c r="H932" s="16"/>
      <c r="I932" s="16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customFormat="false" ht="12.75" hidden="false" customHeight="true" outlineLevel="0" collapsed="false">
      <c r="A933" s="15"/>
      <c r="B933" s="16"/>
      <c r="C933" s="16"/>
      <c r="D933" s="16"/>
      <c r="E933" s="16"/>
      <c r="F933" s="16"/>
      <c r="G933" s="16"/>
      <c r="H933" s="16"/>
      <c r="I933" s="16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customFormat="false" ht="12.75" hidden="false" customHeight="true" outlineLevel="0" collapsed="false">
      <c r="A934" s="15"/>
      <c r="B934" s="16"/>
      <c r="C934" s="16"/>
      <c r="D934" s="16"/>
      <c r="E934" s="16"/>
      <c r="F934" s="16"/>
      <c r="G934" s="16"/>
      <c r="H934" s="16"/>
      <c r="I934" s="16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customFormat="false" ht="12.75" hidden="false" customHeight="true" outlineLevel="0" collapsed="false">
      <c r="A935" s="15"/>
      <c r="B935" s="16"/>
      <c r="C935" s="16"/>
      <c r="D935" s="16"/>
      <c r="E935" s="16"/>
      <c r="F935" s="16"/>
      <c r="G935" s="16"/>
      <c r="H935" s="16"/>
      <c r="I935" s="16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customFormat="false" ht="12.75" hidden="false" customHeight="true" outlineLevel="0" collapsed="false">
      <c r="A936" s="15"/>
      <c r="B936" s="16"/>
      <c r="C936" s="16"/>
      <c r="D936" s="16"/>
      <c r="E936" s="16"/>
      <c r="F936" s="16"/>
      <c r="G936" s="16"/>
      <c r="H936" s="16"/>
      <c r="I936" s="16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customFormat="false" ht="12.75" hidden="false" customHeight="true" outlineLevel="0" collapsed="false">
      <c r="A937" s="15"/>
      <c r="B937" s="16"/>
      <c r="C937" s="16"/>
      <c r="D937" s="16"/>
      <c r="E937" s="16"/>
      <c r="F937" s="16"/>
      <c r="G937" s="16"/>
      <c r="H937" s="16"/>
      <c r="I937" s="16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customFormat="false" ht="12.75" hidden="false" customHeight="true" outlineLevel="0" collapsed="false">
      <c r="A938" s="15"/>
      <c r="B938" s="16"/>
      <c r="C938" s="16"/>
      <c r="D938" s="16"/>
      <c r="E938" s="16"/>
      <c r="F938" s="16"/>
      <c r="G938" s="16"/>
      <c r="H938" s="16"/>
      <c r="I938" s="16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customFormat="false" ht="12.75" hidden="false" customHeight="true" outlineLevel="0" collapsed="false">
      <c r="A939" s="15"/>
      <c r="B939" s="16"/>
      <c r="C939" s="16"/>
      <c r="D939" s="16"/>
      <c r="E939" s="16"/>
      <c r="F939" s="16"/>
      <c r="G939" s="16"/>
      <c r="H939" s="16"/>
      <c r="I939" s="16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customFormat="false" ht="12.75" hidden="false" customHeight="true" outlineLevel="0" collapsed="false">
      <c r="A940" s="15"/>
      <c r="B940" s="16"/>
      <c r="C940" s="16"/>
      <c r="D940" s="16"/>
      <c r="E940" s="16"/>
      <c r="F940" s="16"/>
      <c r="G940" s="16"/>
      <c r="H940" s="16"/>
      <c r="I940" s="16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customFormat="false" ht="12.75" hidden="false" customHeight="true" outlineLevel="0" collapsed="false">
      <c r="A941" s="15"/>
      <c r="B941" s="16"/>
      <c r="C941" s="16"/>
      <c r="D941" s="16"/>
      <c r="E941" s="16"/>
      <c r="F941" s="16"/>
      <c r="G941" s="16"/>
      <c r="H941" s="16"/>
      <c r="I941" s="16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customFormat="false" ht="12.75" hidden="false" customHeight="true" outlineLevel="0" collapsed="false">
      <c r="A942" s="15"/>
      <c r="B942" s="16"/>
      <c r="C942" s="16"/>
      <c r="D942" s="16"/>
      <c r="E942" s="16"/>
      <c r="F942" s="16"/>
      <c r="G942" s="16"/>
      <c r="H942" s="16"/>
      <c r="I942" s="16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customFormat="false" ht="12.75" hidden="false" customHeight="true" outlineLevel="0" collapsed="false">
      <c r="A943" s="15"/>
      <c r="B943" s="16"/>
      <c r="C943" s="16"/>
      <c r="D943" s="16"/>
      <c r="E943" s="16"/>
      <c r="F943" s="16"/>
      <c r="G943" s="16"/>
      <c r="H943" s="16"/>
      <c r="I943" s="16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customFormat="false" ht="12.75" hidden="false" customHeight="true" outlineLevel="0" collapsed="false">
      <c r="A944" s="15"/>
      <c r="B944" s="16"/>
      <c r="C944" s="16"/>
      <c r="D944" s="16"/>
      <c r="E944" s="16"/>
      <c r="F944" s="16"/>
      <c r="G944" s="16"/>
      <c r="H944" s="16"/>
      <c r="I944" s="16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customFormat="false" ht="12.75" hidden="false" customHeight="true" outlineLevel="0" collapsed="false">
      <c r="A945" s="15"/>
      <c r="B945" s="16"/>
      <c r="C945" s="16"/>
      <c r="D945" s="16"/>
      <c r="E945" s="16"/>
      <c r="F945" s="16"/>
      <c r="G945" s="16"/>
      <c r="H945" s="16"/>
      <c r="I945" s="16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customFormat="false" ht="12.75" hidden="false" customHeight="true" outlineLevel="0" collapsed="false">
      <c r="A946" s="15"/>
      <c r="B946" s="16"/>
      <c r="C946" s="16"/>
      <c r="D946" s="16"/>
      <c r="E946" s="16"/>
      <c r="F946" s="16"/>
      <c r="G946" s="16"/>
      <c r="H946" s="16"/>
      <c r="I946" s="16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customFormat="false" ht="12.75" hidden="false" customHeight="true" outlineLevel="0" collapsed="false">
      <c r="A947" s="15"/>
      <c r="B947" s="16"/>
      <c r="C947" s="16"/>
      <c r="D947" s="16"/>
      <c r="E947" s="16"/>
      <c r="F947" s="16"/>
      <c r="G947" s="16"/>
      <c r="H947" s="16"/>
      <c r="I947" s="16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customFormat="false" ht="12.75" hidden="false" customHeight="true" outlineLevel="0" collapsed="false">
      <c r="A948" s="15"/>
      <c r="B948" s="16"/>
      <c r="C948" s="16"/>
      <c r="D948" s="16"/>
      <c r="E948" s="16"/>
      <c r="F948" s="16"/>
      <c r="G948" s="16"/>
      <c r="H948" s="16"/>
      <c r="I948" s="16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customFormat="false" ht="12.75" hidden="false" customHeight="true" outlineLevel="0" collapsed="false">
      <c r="A949" s="15"/>
      <c r="B949" s="16"/>
      <c r="C949" s="16"/>
      <c r="D949" s="16"/>
      <c r="E949" s="16"/>
      <c r="F949" s="16"/>
      <c r="G949" s="16"/>
      <c r="H949" s="16"/>
      <c r="I949" s="16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customFormat="false" ht="12.75" hidden="false" customHeight="true" outlineLevel="0" collapsed="false">
      <c r="A950" s="15"/>
      <c r="B950" s="16"/>
      <c r="C950" s="16"/>
      <c r="D950" s="16"/>
      <c r="E950" s="16"/>
      <c r="F950" s="16"/>
      <c r="G950" s="16"/>
      <c r="H950" s="16"/>
      <c r="I950" s="16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customFormat="false" ht="12.75" hidden="false" customHeight="true" outlineLevel="0" collapsed="false">
      <c r="A951" s="15"/>
      <c r="B951" s="16"/>
      <c r="C951" s="16"/>
      <c r="D951" s="16"/>
      <c r="E951" s="16"/>
      <c r="F951" s="16"/>
      <c r="G951" s="16"/>
      <c r="H951" s="16"/>
      <c r="I951" s="16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customFormat="false" ht="12.75" hidden="false" customHeight="true" outlineLevel="0" collapsed="false">
      <c r="A952" s="15"/>
      <c r="B952" s="16"/>
      <c r="C952" s="16"/>
      <c r="D952" s="16"/>
      <c r="E952" s="16"/>
      <c r="F952" s="16"/>
      <c r="G952" s="16"/>
      <c r="H952" s="16"/>
      <c r="I952" s="16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customFormat="false" ht="12.75" hidden="false" customHeight="true" outlineLevel="0" collapsed="false">
      <c r="A953" s="15"/>
      <c r="B953" s="16"/>
      <c r="C953" s="16"/>
      <c r="D953" s="16"/>
      <c r="E953" s="16"/>
      <c r="F953" s="16"/>
      <c r="G953" s="16"/>
      <c r="H953" s="16"/>
      <c r="I953" s="16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customFormat="false" ht="12.75" hidden="false" customHeight="true" outlineLevel="0" collapsed="false">
      <c r="A954" s="15"/>
      <c r="B954" s="16"/>
      <c r="C954" s="16"/>
      <c r="D954" s="16"/>
      <c r="E954" s="16"/>
      <c r="F954" s="16"/>
      <c r="G954" s="16"/>
      <c r="H954" s="16"/>
      <c r="I954" s="16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customFormat="false" ht="12.75" hidden="false" customHeight="true" outlineLevel="0" collapsed="false">
      <c r="A955" s="15"/>
      <c r="B955" s="16"/>
      <c r="C955" s="16"/>
      <c r="D955" s="16"/>
      <c r="E955" s="16"/>
      <c r="F955" s="16"/>
      <c r="G955" s="16"/>
      <c r="H955" s="16"/>
      <c r="I955" s="16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customFormat="false" ht="12.75" hidden="false" customHeight="true" outlineLevel="0" collapsed="false">
      <c r="A956" s="15"/>
      <c r="B956" s="16"/>
      <c r="C956" s="16"/>
      <c r="D956" s="16"/>
      <c r="E956" s="16"/>
      <c r="F956" s="16"/>
      <c r="G956" s="16"/>
      <c r="H956" s="16"/>
      <c r="I956" s="16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customFormat="false" ht="12.75" hidden="false" customHeight="true" outlineLevel="0" collapsed="false">
      <c r="A957" s="15"/>
      <c r="B957" s="16"/>
      <c r="C957" s="16"/>
      <c r="D957" s="16"/>
      <c r="E957" s="16"/>
      <c r="F957" s="16"/>
      <c r="G957" s="16"/>
      <c r="H957" s="16"/>
      <c r="I957" s="16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customFormat="false" ht="12.75" hidden="false" customHeight="true" outlineLevel="0" collapsed="false">
      <c r="A958" s="15"/>
      <c r="B958" s="16"/>
      <c r="C958" s="16"/>
      <c r="D958" s="16"/>
      <c r="E958" s="16"/>
      <c r="F958" s="16"/>
      <c r="G958" s="16"/>
      <c r="H958" s="16"/>
      <c r="I958" s="16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customFormat="false" ht="12.75" hidden="false" customHeight="true" outlineLevel="0" collapsed="false">
      <c r="A959" s="15"/>
      <c r="B959" s="16"/>
      <c r="C959" s="16"/>
      <c r="D959" s="16"/>
      <c r="E959" s="16"/>
      <c r="F959" s="16"/>
      <c r="G959" s="16"/>
      <c r="H959" s="16"/>
      <c r="I959" s="16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customFormat="false" ht="12.75" hidden="false" customHeight="true" outlineLevel="0" collapsed="false">
      <c r="A960" s="15"/>
      <c r="B960" s="16"/>
      <c r="C960" s="16"/>
      <c r="D960" s="16"/>
      <c r="E960" s="16"/>
      <c r="F960" s="16"/>
      <c r="G960" s="16"/>
      <c r="H960" s="16"/>
      <c r="I960" s="16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customFormat="false" ht="12.75" hidden="false" customHeight="true" outlineLevel="0" collapsed="false">
      <c r="A961" s="15"/>
      <c r="B961" s="16"/>
      <c r="C961" s="16"/>
      <c r="D961" s="16"/>
      <c r="E961" s="16"/>
      <c r="F961" s="16"/>
      <c r="G961" s="16"/>
      <c r="H961" s="16"/>
      <c r="I961" s="16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customFormat="false" ht="12.75" hidden="false" customHeight="true" outlineLevel="0" collapsed="false">
      <c r="A962" s="15"/>
      <c r="B962" s="16"/>
      <c r="C962" s="16"/>
      <c r="D962" s="16"/>
      <c r="E962" s="16"/>
      <c r="F962" s="16"/>
      <c r="G962" s="16"/>
      <c r="H962" s="16"/>
      <c r="I962" s="16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customFormat="false" ht="12.75" hidden="false" customHeight="true" outlineLevel="0" collapsed="false">
      <c r="A963" s="15"/>
      <c r="B963" s="16"/>
      <c r="C963" s="16"/>
      <c r="D963" s="16"/>
      <c r="E963" s="16"/>
      <c r="F963" s="16"/>
      <c r="G963" s="16"/>
      <c r="H963" s="16"/>
      <c r="I963" s="16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customFormat="false" ht="12.75" hidden="false" customHeight="true" outlineLevel="0" collapsed="false">
      <c r="A964" s="15"/>
      <c r="B964" s="16"/>
      <c r="C964" s="16"/>
      <c r="D964" s="16"/>
      <c r="E964" s="16"/>
      <c r="F964" s="16"/>
      <c r="G964" s="16"/>
      <c r="H964" s="16"/>
      <c r="I964" s="16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customFormat="false" ht="12.75" hidden="false" customHeight="true" outlineLevel="0" collapsed="false">
      <c r="A965" s="15"/>
      <c r="B965" s="16"/>
      <c r="C965" s="16"/>
      <c r="D965" s="16"/>
      <c r="E965" s="16"/>
      <c r="F965" s="16"/>
      <c r="G965" s="16"/>
      <c r="H965" s="16"/>
      <c r="I965" s="16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customFormat="false" ht="12.75" hidden="false" customHeight="true" outlineLevel="0" collapsed="false">
      <c r="A966" s="15"/>
      <c r="B966" s="16"/>
      <c r="C966" s="16"/>
      <c r="D966" s="16"/>
      <c r="E966" s="16"/>
      <c r="F966" s="16"/>
      <c r="G966" s="16"/>
      <c r="H966" s="16"/>
      <c r="I966" s="16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customFormat="false" ht="12.75" hidden="false" customHeight="true" outlineLevel="0" collapsed="false">
      <c r="A967" s="15"/>
      <c r="B967" s="16"/>
      <c r="C967" s="16"/>
      <c r="D967" s="16"/>
      <c r="E967" s="16"/>
      <c r="F967" s="16"/>
      <c r="G967" s="16"/>
      <c r="H967" s="16"/>
      <c r="I967" s="16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customFormat="false" ht="12.75" hidden="false" customHeight="true" outlineLevel="0" collapsed="false">
      <c r="A968" s="15"/>
      <c r="B968" s="16"/>
      <c r="C968" s="16"/>
      <c r="D968" s="16"/>
      <c r="E968" s="16"/>
      <c r="F968" s="16"/>
      <c r="G968" s="16"/>
      <c r="H968" s="16"/>
      <c r="I968" s="16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customFormat="false" ht="12.75" hidden="false" customHeight="true" outlineLevel="0" collapsed="false">
      <c r="A969" s="15"/>
      <c r="B969" s="16"/>
      <c r="C969" s="16"/>
      <c r="D969" s="16"/>
      <c r="E969" s="16"/>
      <c r="F969" s="16"/>
      <c r="G969" s="16"/>
      <c r="H969" s="16"/>
      <c r="I969" s="16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customFormat="false" ht="12.75" hidden="false" customHeight="true" outlineLevel="0" collapsed="false">
      <c r="A970" s="15"/>
      <c r="B970" s="16"/>
      <c r="C970" s="16"/>
      <c r="D970" s="16"/>
      <c r="E970" s="16"/>
      <c r="F970" s="16"/>
      <c r="G970" s="16"/>
      <c r="H970" s="16"/>
      <c r="I970" s="16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customFormat="false" ht="12.75" hidden="false" customHeight="true" outlineLevel="0" collapsed="false">
      <c r="A971" s="15"/>
      <c r="B971" s="16"/>
      <c r="C971" s="16"/>
      <c r="D971" s="16"/>
      <c r="E971" s="16"/>
      <c r="F971" s="16"/>
      <c r="G971" s="16"/>
      <c r="H971" s="16"/>
      <c r="I971" s="16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customFormat="false" ht="12.75" hidden="false" customHeight="true" outlineLevel="0" collapsed="false">
      <c r="A972" s="15"/>
      <c r="B972" s="16"/>
      <c r="C972" s="16"/>
      <c r="D972" s="16"/>
      <c r="E972" s="16"/>
      <c r="F972" s="16"/>
      <c r="G972" s="16"/>
      <c r="H972" s="16"/>
      <c r="I972" s="16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customFormat="false" ht="12.75" hidden="false" customHeight="true" outlineLevel="0" collapsed="false">
      <c r="A973" s="15"/>
      <c r="B973" s="16"/>
      <c r="C973" s="16"/>
      <c r="D973" s="16"/>
      <c r="E973" s="16"/>
      <c r="F973" s="16"/>
      <c r="G973" s="16"/>
      <c r="H973" s="16"/>
      <c r="I973" s="16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customFormat="false" ht="12.75" hidden="false" customHeight="true" outlineLevel="0" collapsed="false">
      <c r="A974" s="15"/>
      <c r="B974" s="16"/>
      <c r="C974" s="16"/>
      <c r="D974" s="16"/>
      <c r="E974" s="16"/>
      <c r="F974" s="16"/>
      <c r="G974" s="16"/>
      <c r="H974" s="16"/>
      <c r="I974" s="16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customFormat="false" ht="12.75" hidden="false" customHeight="true" outlineLevel="0" collapsed="false">
      <c r="A975" s="15"/>
      <c r="B975" s="16"/>
      <c r="C975" s="16"/>
      <c r="D975" s="16"/>
      <c r="E975" s="16"/>
      <c r="F975" s="16"/>
      <c r="G975" s="16"/>
      <c r="H975" s="16"/>
      <c r="I975" s="16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customFormat="false" ht="12.75" hidden="false" customHeight="true" outlineLevel="0" collapsed="false">
      <c r="A976" s="15"/>
      <c r="B976" s="16"/>
      <c r="C976" s="16"/>
      <c r="D976" s="16"/>
      <c r="E976" s="16"/>
      <c r="F976" s="16"/>
      <c r="G976" s="16"/>
      <c r="H976" s="16"/>
      <c r="I976" s="16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customFormat="false" ht="12.75" hidden="false" customHeight="true" outlineLevel="0" collapsed="false">
      <c r="A977" s="15"/>
      <c r="B977" s="16"/>
      <c r="C977" s="16"/>
      <c r="D977" s="16"/>
      <c r="E977" s="16"/>
      <c r="F977" s="16"/>
      <c r="G977" s="16"/>
      <c r="H977" s="16"/>
      <c r="I977" s="16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customFormat="false" ht="12.75" hidden="false" customHeight="true" outlineLevel="0" collapsed="false">
      <c r="A978" s="15"/>
      <c r="B978" s="16"/>
      <c r="C978" s="16"/>
      <c r="D978" s="16"/>
      <c r="E978" s="16"/>
      <c r="F978" s="16"/>
      <c r="G978" s="16"/>
      <c r="H978" s="16"/>
      <c r="I978" s="16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customFormat="false" ht="12.75" hidden="false" customHeight="true" outlineLevel="0" collapsed="false">
      <c r="A979" s="15"/>
      <c r="B979" s="16"/>
      <c r="C979" s="16"/>
      <c r="D979" s="16"/>
      <c r="E979" s="16"/>
      <c r="F979" s="16"/>
      <c r="G979" s="16"/>
      <c r="H979" s="16"/>
      <c r="I979" s="16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customFormat="false" ht="12.75" hidden="false" customHeight="true" outlineLevel="0" collapsed="false">
      <c r="A980" s="15"/>
      <c r="B980" s="16"/>
      <c r="C980" s="16"/>
      <c r="D980" s="16"/>
      <c r="E980" s="16"/>
      <c r="F980" s="16"/>
      <c r="G980" s="16"/>
      <c r="H980" s="16"/>
      <c r="I980" s="16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customFormat="false" ht="12.75" hidden="false" customHeight="true" outlineLevel="0" collapsed="false">
      <c r="A981" s="15"/>
      <c r="B981" s="16"/>
      <c r="C981" s="16"/>
      <c r="D981" s="16"/>
      <c r="E981" s="16"/>
      <c r="F981" s="16"/>
      <c r="G981" s="16"/>
      <c r="H981" s="16"/>
      <c r="I981" s="16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customFormat="false" ht="12.75" hidden="false" customHeight="true" outlineLevel="0" collapsed="false">
      <c r="A982" s="15"/>
      <c r="B982" s="16"/>
      <c r="C982" s="16"/>
      <c r="D982" s="16"/>
      <c r="E982" s="16"/>
      <c r="F982" s="16"/>
      <c r="G982" s="16"/>
      <c r="H982" s="16"/>
      <c r="I982" s="16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customFormat="false" ht="12.75" hidden="false" customHeight="true" outlineLevel="0" collapsed="false">
      <c r="A983" s="15"/>
      <c r="B983" s="16"/>
      <c r="C983" s="16"/>
      <c r="D983" s="16"/>
      <c r="E983" s="16"/>
      <c r="F983" s="16"/>
      <c r="G983" s="16"/>
      <c r="H983" s="16"/>
      <c r="I983" s="16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customFormat="false" ht="12.75" hidden="false" customHeight="true" outlineLevel="0" collapsed="false">
      <c r="A984" s="15"/>
      <c r="B984" s="16"/>
      <c r="C984" s="16"/>
      <c r="D984" s="16"/>
      <c r="E984" s="16"/>
      <c r="F984" s="16"/>
      <c r="G984" s="16"/>
      <c r="H984" s="16"/>
      <c r="I984" s="16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customFormat="false" ht="12.75" hidden="false" customHeight="true" outlineLevel="0" collapsed="false">
      <c r="A985" s="15"/>
      <c r="B985" s="16"/>
      <c r="C985" s="16"/>
      <c r="D985" s="16"/>
      <c r="E985" s="16"/>
      <c r="F985" s="16"/>
      <c r="G985" s="16"/>
      <c r="H985" s="16"/>
      <c r="I985" s="16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customFormat="false" ht="12.75" hidden="false" customHeight="true" outlineLevel="0" collapsed="false">
      <c r="A986" s="15"/>
      <c r="B986" s="16"/>
      <c r="C986" s="16"/>
      <c r="D986" s="16"/>
      <c r="E986" s="16"/>
      <c r="F986" s="16"/>
      <c r="G986" s="16"/>
      <c r="H986" s="16"/>
      <c r="I986" s="16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customFormat="false" ht="12.75" hidden="false" customHeight="true" outlineLevel="0" collapsed="false">
      <c r="A987" s="15"/>
      <c r="B987" s="16"/>
      <c r="C987" s="16"/>
      <c r="D987" s="16"/>
      <c r="E987" s="16"/>
      <c r="F987" s="16"/>
      <c r="G987" s="16"/>
      <c r="H987" s="16"/>
      <c r="I987" s="16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customFormat="false" ht="12.75" hidden="false" customHeight="true" outlineLevel="0" collapsed="false">
      <c r="A988" s="15"/>
      <c r="B988" s="16"/>
      <c r="C988" s="16"/>
      <c r="D988" s="16"/>
      <c r="E988" s="16"/>
      <c r="F988" s="16"/>
      <c r="G988" s="16"/>
      <c r="H988" s="16"/>
      <c r="I988" s="16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customFormat="false" ht="12.75" hidden="false" customHeight="true" outlineLevel="0" collapsed="false">
      <c r="A989" s="15"/>
      <c r="B989" s="16"/>
      <c r="C989" s="16"/>
      <c r="D989" s="16"/>
      <c r="E989" s="16"/>
      <c r="F989" s="16"/>
      <c r="G989" s="16"/>
      <c r="H989" s="16"/>
      <c r="I989" s="16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customFormat="false" ht="12.75" hidden="false" customHeight="true" outlineLevel="0" collapsed="false">
      <c r="A990" s="15"/>
      <c r="B990" s="16"/>
      <c r="C990" s="16"/>
      <c r="D990" s="16"/>
      <c r="E990" s="16"/>
      <c r="F990" s="16"/>
      <c r="G990" s="16"/>
      <c r="H990" s="16"/>
      <c r="I990" s="16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customFormat="false" ht="12.75" hidden="false" customHeight="true" outlineLevel="0" collapsed="false">
      <c r="A991" s="15"/>
      <c r="B991" s="16"/>
      <c r="C991" s="16"/>
      <c r="D991" s="16"/>
      <c r="E991" s="16"/>
      <c r="F991" s="16"/>
      <c r="G991" s="16"/>
      <c r="H991" s="16"/>
      <c r="I991" s="16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customFormat="false" ht="12.75" hidden="false" customHeight="true" outlineLevel="0" collapsed="false">
      <c r="A992" s="15"/>
      <c r="B992" s="16"/>
      <c r="C992" s="16"/>
      <c r="D992" s="16"/>
      <c r="E992" s="16"/>
      <c r="F992" s="16"/>
      <c r="G992" s="16"/>
      <c r="H992" s="16"/>
      <c r="I992" s="16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customFormat="false" ht="12.75" hidden="false" customHeight="true" outlineLevel="0" collapsed="false">
      <c r="A993" s="15"/>
      <c r="B993" s="16"/>
      <c r="C993" s="16"/>
      <c r="D993" s="16"/>
      <c r="E993" s="16"/>
      <c r="F993" s="16"/>
      <c r="G993" s="16"/>
      <c r="H993" s="16"/>
      <c r="I993" s="16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customFormat="false" ht="12.75" hidden="false" customHeight="true" outlineLevel="0" collapsed="false">
      <c r="A994" s="15"/>
      <c r="B994" s="16"/>
      <c r="C994" s="16"/>
      <c r="D994" s="16"/>
      <c r="E994" s="16"/>
      <c r="F994" s="16"/>
      <c r="G994" s="16"/>
      <c r="H994" s="16"/>
      <c r="I994" s="16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customFormat="false" ht="12.75" hidden="false" customHeight="true" outlineLevel="0" collapsed="false">
      <c r="A995" s="15"/>
      <c r="B995" s="16"/>
      <c r="C995" s="16"/>
      <c r="D995" s="16"/>
      <c r="E995" s="16"/>
      <c r="F995" s="16"/>
      <c r="G995" s="16"/>
      <c r="H995" s="16"/>
      <c r="I995" s="16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customFormat="false" ht="12.75" hidden="false" customHeight="true" outlineLevel="0" collapsed="false">
      <c r="A996" s="15"/>
      <c r="B996" s="16"/>
      <c r="C996" s="16"/>
      <c r="D996" s="16"/>
      <c r="E996" s="16"/>
      <c r="F996" s="16"/>
      <c r="G996" s="16"/>
      <c r="H996" s="16"/>
      <c r="I996" s="16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customFormat="false" ht="12.75" hidden="false" customHeight="true" outlineLevel="0" collapsed="false">
      <c r="A997" s="15"/>
      <c r="B997" s="16"/>
      <c r="C997" s="16"/>
      <c r="D997" s="16"/>
      <c r="E997" s="16"/>
      <c r="F997" s="16"/>
      <c r="G997" s="16"/>
      <c r="H997" s="16"/>
      <c r="I997" s="16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customFormat="false" ht="12.75" hidden="false" customHeight="true" outlineLevel="0" collapsed="false">
      <c r="A998" s="15"/>
      <c r="B998" s="16"/>
      <c r="C998" s="16"/>
      <c r="D998" s="16"/>
      <c r="E998" s="16"/>
      <c r="F998" s="16"/>
      <c r="G998" s="16"/>
      <c r="H998" s="16"/>
      <c r="I998" s="16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customFormat="false" ht="12.75" hidden="false" customHeight="true" outlineLevel="0" collapsed="false">
      <c r="A999" s="15"/>
      <c r="B999" s="16"/>
      <c r="C999" s="16"/>
      <c r="D999" s="16"/>
      <c r="E999" s="16"/>
      <c r="F999" s="16"/>
      <c r="G999" s="16"/>
      <c r="H999" s="16"/>
      <c r="I999" s="16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customFormat="false" ht="12.75" hidden="false" customHeight="true" outlineLevel="0" collapsed="false">
      <c r="A1000" s="15"/>
      <c r="B1000" s="16"/>
      <c r="C1000" s="16"/>
      <c r="D1000" s="16"/>
      <c r="E1000" s="16"/>
      <c r="F1000" s="16"/>
      <c r="G1000" s="16"/>
      <c r="H1000" s="16"/>
      <c r="I1000" s="16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2025-02-05T13:37:00Z</dcterms:created>
  <dc:creator>Marcelo Edivan</dc:creator>
  <dc:description/>
  <dc:language>pt-BR</dc:language>
  <cp:lastModifiedBy/>
  <dcterms:modified xsi:type="dcterms:W3CDTF">2026-04-29T16:16:18Z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